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gets" sheetId="1" r:id="rId4"/>
    <sheet state="visible" name="target_model_input" sheetId="2" r:id="rId5"/>
    <sheet state="visible" name="ibex" sheetId="3" r:id="rId6"/>
    <sheet state="visible" name="fillers" sheetId="4" r:id="rId7"/>
    <sheet state="visible" name="counterbalance" sheetId="5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">
      <text>
        <t xml:space="preserve">Bu ambiguity'den kurtulmak icin belki soyle bi sey yapabiliriz (RSVP icin boyle dursun da sonra eye-tracking yapmak istersek: Gocmen sozuleri avukati protestoda durmadan beklediler.)
	-Duygu Demiray
cok guzel fikir, yapariz :D
	-Özge BAKAY</t>
      </text>
    </comment>
  </commentList>
</comments>
</file>

<file path=xl/sharedStrings.xml><?xml version="1.0" encoding="utf-8"?>
<sst xmlns="http://schemas.openxmlformats.org/spreadsheetml/2006/main" count="7259" uniqueCount="828">
  <si>
    <t>Item</t>
  </si>
  <si>
    <t>Case</t>
  </si>
  <si>
    <t>Number</t>
  </si>
  <si>
    <t>Attractor</t>
  </si>
  <si>
    <t>Target</t>
  </si>
  <si>
    <t>Adv1</t>
  </si>
  <si>
    <t>Adv2</t>
  </si>
  <si>
    <t>Adv3</t>
  </si>
  <si>
    <t>Adv4</t>
  </si>
  <si>
    <t>Verb</t>
  </si>
  <si>
    <t>isGrammatical</t>
  </si>
  <si>
    <t>gen</t>
  </si>
  <si>
    <t>targetMatch</t>
  </si>
  <si>
    <t>Göçmenin</t>
  </si>
  <si>
    <t>sözcüleri</t>
  </si>
  <si>
    <t>geçen</t>
  </si>
  <si>
    <t>hafta</t>
  </si>
  <si>
    <t>protestoda</t>
  </si>
  <si>
    <t>aralıksız</t>
  </si>
  <si>
    <t>bağırdılar.</t>
  </si>
  <si>
    <t>Yes</t>
  </si>
  <si>
    <t>ambiguity</t>
  </si>
  <si>
    <t>Bu ambiguity tam olarak critical word verb'de çözülüyor, maze'da bu nasıl etkiler, bunu düşünmemiz lazım</t>
  </si>
  <si>
    <t>attractorMatch</t>
  </si>
  <si>
    <t>Göçmenlerin</t>
  </si>
  <si>
    <t>sözcüsü</t>
  </si>
  <si>
    <t>No</t>
  </si>
  <si>
    <t>item'larda adv'lerde de hiçbir pl item olmayacak şekilde editledim</t>
  </si>
  <si>
    <t>noMatch</t>
  </si>
  <si>
    <t xml:space="preserve">tüm verb'ler intransitive </t>
  </si>
  <si>
    <t>nom</t>
  </si>
  <si>
    <t>Göçmen</t>
  </si>
  <si>
    <t>Göçmenler</t>
  </si>
  <si>
    <t>CountGram</t>
  </si>
  <si>
    <t>CountUngram</t>
  </si>
  <si>
    <t>Stajyerin</t>
  </si>
  <si>
    <t>temsilcileri</t>
  </si>
  <si>
    <t>bugünkü</t>
  </si>
  <si>
    <t>toplantıda</t>
  </si>
  <si>
    <t>edepsiz</t>
  </si>
  <si>
    <t>konuştular.</t>
  </si>
  <si>
    <t>verbPLCount</t>
  </si>
  <si>
    <t>Stajyerlerin</t>
  </si>
  <si>
    <t>temsilcisi</t>
  </si>
  <si>
    <t>Stajyer</t>
  </si>
  <si>
    <t>Stajyerler</t>
  </si>
  <si>
    <t>Esnafın</t>
  </si>
  <si>
    <t>yöneticileri</t>
  </si>
  <si>
    <t>seçimden</t>
  </si>
  <si>
    <t>sonra</t>
  </si>
  <si>
    <t>senatoda</t>
  </si>
  <si>
    <t>sertçe</t>
  </si>
  <si>
    <t>tartıştılar.</t>
  </si>
  <si>
    <t>1st noun: kind interpretation</t>
  </si>
  <si>
    <t>Esnafların</t>
  </si>
  <si>
    <t>yöneticisi</t>
  </si>
  <si>
    <t xml:space="preserve">2snd noun: distributive vs. collective event reading, latter should be available </t>
  </si>
  <si>
    <t>3: menajeri vs. kralı (1 vs. out of more kral)</t>
  </si>
  <si>
    <t>Esnaf</t>
  </si>
  <si>
    <t>Esnaflar</t>
  </si>
  <si>
    <t>Mültecinin</t>
  </si>
  <si>
    <t>avukatları</t>
  </si>
  <si>
    <t>duruşma</t>
  </si>
  <si>
    <t>için</t>
  </si>
  <si>
    <t>uzun</t>
  </si>
  <si>
    <t>süre</t>
  </si>
  <si>
    <t>hazırlandılar.</t>
  </si>
  <si>
    <t>Mültecilerin</t>
  </si>
  <si>
    <t>avukatı</t>
  </si>
  <si>
    <t>Mülteci</t>
  </si>
  <si>
    <t>Mülteciler</t>
  </si>
  <si>
    <t>Padişahın</t>
  </si>
  <si>
    <t>tarihçileri</t>
  </si>
  <si>
    <t>yolculuk</t>
  </si>
  <si>
    <t>yavaşça</t>
  </si>
  <si>
    <t>trene</t>
  </si>
  <si>
    <t>bindiler.</t>
  </si>
  <si>
    <t>Padişahların</t>
  </si>
  <si>
    <t>tarihçisi</t>
  </si>
  <si>
    <t>Padişah</t>
  </si>
  <si>
    <t>Padişahlar</t>
  </si>
  <si>
    <t>Marangozun</t>
  </si>
  <si>
    <t>ustaları</t>
  </si>
  <si>
    <t xml:space="preserve">çoktan </t>
  </si>
  <si>
    <t>yeni</t>
  </si>
  <si>
    <t>semtteki</t>
  </si>
  <si>
    <t>atölyeye</t>
  </si>
  <si>
    <t>ulaşmışlar.</t>
  </si>
  <si>
    <t>Marangozların</t>
  </si>
  <si>
    <t>ustası</t>
  </si>
  <si>
    <t>ÇÖPLÜK</t>
  </si>
  <si>
    <t>memur</t>
  </si>
  <si>
    <t>sahip</t>
  </si>
  <si>
    <t>Cerrahın</t>
  </si>
  <si>
    <t>asistanlari</t>
  </si>
  <si>
    <t>ameliyata</t>
  </si>
  <si>
    <t>hemen</t>
  </si>
  <si>
    <t>girdiler.</t>
  </si>
  <si>
    <t>Duygu</t>
  </si>
  <si>
    <t>Marangoz</t>
  </si>
  <si>
    <t>Yolcunun</t>
  </si>
  <si>
    <t>gozlemci</t>
  </si>
  <si>
    <t>Cerrahların</t>
  </si>
  <si>
    <t>asistanı</t>
  </si>
  <si>
    <t>Marangozlar</t>
  </si>
  <si>
    <t>ustad</t>
  </si>
  <si>
    <t>yaratici</t>
  </si>
  <si>
    <t>Cerrah</t>
  </si>
  <si>
    <t>asistanları</t>
  </si>
  <si>
    <t>Bakanın</t>
  </si>
  <si>
    <t>sekreterleri</t>
  </si>
  <si>
    <t>utanç</t>
  </si>
  <si>
    <t>içinde</t>
  </si>
  <si>
    <t>koridordaki</t>
  </si>
  <si>
    <t>kapıya</t>
  </si>
  <si>
    <t>yöneldiler.</t>
  </si>
  <si>
    <t>Cerrahlar</t>
  </si>
  <si>
    <t>Bakanların</t>
  </si>
  <si>
    <t>sekreteri</t>
  </si>
  <si>
    <t>Bakan</t>
  </si>
  <si>
    <t>Bakanlar</t>
  </si>
  <si>
    <t>yazar</t>
  </si>
  <si>
    <t>sosyoloğu</t>
  </si>
  <si>
    <t xml:space="preserve">İşçiler </t>
  </si>
  <si>
    <t>müfettiş</t>
  </si>
  <si>
    <t>Hastalarin</t>
  </si>
  <si>
    <t>bakıcıları</t>
  </si>
  <si>
    <t>evde</t>
  </si>
  <si>
    <t>durmaksızın</t>
  </si>
  <si>
    <t>çalıştılar.</t>
  </si>
  <si>
    <t>Oyuncunun</t>
  </si>
  <si>
    <t>koçları</t>
  </si>
  <si>
    <t>ertesi</t>
  </si>
  <si>
    <t>gün</t>
  </si>
  <si>
    <t>provaya</t>
  </si>
  <si>
    <t>geç</t>
  </si>
  <si>
    <t>geldiler.</t>
  </si>
  <si>
    <t>Evsizler</t>
  </si>
  <si>
    <t>uzmani</t>
  </si>
  <si>
    <t>bakıcısı</t>
  </si>
  <si>
    <t>Oyuncuların</t>
  </si>
  <si>
    <t>koçu</t>
  </si>
  <si>
    <t xml:space="preserve">Hattatlar </t>
  </si>
  <si>
    <t>arabulucusu</t>
  </si>
  <si>
    <t>Hastanin</t>
  </si>
  <si>
    <t>Sanatçının</t>
  </si>
  <si>
    <t>üstadı</t>
  </si>
  <si>
    <t>Hasta</t>
  </si>
  <si>
    <t>Oyuncu</t>
  </si>
  <si>
    <t>İmparatorlar</t>
  </si>
  <si>
    <t>estetisyenleri</t>
  </si>
  <si>
    <t>Hastalar</t>
  </si>
  <si>
    <t>Oyuncular</t>
  </si>
  <si>
    <t>mimarı</t>
  </si>
  <si>
    <t>Yatırımcının</t>
  </si>
  <si>
    <t>danışmanları</t>
  </si>
  <si>
    <t>dönem</t>
  </si>
  <si>
    <t>sonundaki</t>
  </si>
  <si>
    <t>toplantıdan</t>
  </si>
  <si>
    <t>öfkeyle</t>
  </si>
  <si>
    <t>çıktılar.</t>
  </si>
  <si>
    <t>Yatırımcıların</t>
  </si>
  <si>
    <t>danışmanı</t>
  </si>
  <si>
    <t>Turistlerin</t>
  </si>
  <si>
    <t>rehberleri</t>
  </si>
  <si>
    <t>otobüse</t>
  </si>
  <si>
    <t>hızlıca</t>
  </si>
  <si>
    <t>yürüdüler.</t>
  </si>
  <si>
    <t>Yatırımcı</t>
  </si>
  <si>
    <t>rehberi</t>
  </si>
  <si>
    <t>Yatırımcılar</t>
  </si>
  <si>
    <t>Turistin</t>
  </si>
  <si>
    <t>Turist</t>
  </si>
  <si>
    <t>dostları</t>
  </si>
  <si>
    <t>savaşın</t>
  </si>
  <si>
    <t>ardından</t>
  </si>
  <si>
    <t>yardım</t>
  </si>
  <si>
    <t>çağrısına</t>
  </si>
  <si>
    <t>koştular.</t>
  </si>
  <si>
    <t>Turistler</t>
  </si>
  <si>
    <t>dostu</t>
  </si>
  <si>
    <t xml:space="preserve">Şarkıcıların </t>
  </si>
  <si>
    <t>menajerleri</t>
  </si>
  <si>
    <t>stüdyoda</t>
  </si>
  <si>
    <t>sadece</t>
  </si>
  <si>
    <t>oturmuşlar.</t>
  </si>
  <si>
    <t>Sendikacının</t>
  </si>
  <si>
    <t>vekilleri</t>
  </si>
  <si>
    <t>görüşme</t>
  </si>
  <si>
    <t>salonundan</t>
  </si>
  <si>
    <t>hızlı</t>
  </si>
  <si>
    <t>uzaklaştılar.</t>
  </si>
  <si>
    <t>menajeri</t>
  </si>
  <si>
    <t>Sendikacıların</t>
  </si>
  <si>
    <t>vekili</t>
  </si>
  <si>
    <t xml:space="preserve">Şarkıcının </t>
  </si>
  <si>
    <t xml:space="preserve">Şarkıcı </t>
  </si>
  <si>
    <t>Sendikacı</t>
  </si>
  <si>
    <t xml:space="preserve">Şarkıcılar </t>
  </si>
  <si>
    <t>Sendikacılar</t>
  </si>
  <si>
    <t xml:space="preserve">Mühendislerin </t>
  </si>
  <si>
    <t>teknisyenleri</t>
  </si>
  <si>
    <t>fabrikada</t>
  </si>
  <si>
    <t>sessizce</t>
  </si>
  <si>
    <t>dolaştılar.</t>
  </si>
  <si>
    <t>Memurun</t>
  </si>
  <si>
    <t>düşmanları</t>
  </si>
  <si>
    <t>kavganın</t>
  </si>
  <si>
    <t>ortasında</t>
  </si>
  <si>
    <t>aniden</t>
  </si>
  <si>
    <t>habersizce</t>
  </si>
  <si>
    <t>kaçtılar.</t>
  </si>
  <si>
    <t>teknisyeni</t>
  </si>
  <si>
    <t>Memurların</t>
  </si>
  <si>
    <t>düşmanı</t>
  </si>
  <si>
    <t xml:space="preserve">Mühendisin </t>
  </si>
  <si>
    <t xml:space="preserve">Mühendis </t>
  </si>
  <si>
    <t>Memur</t>
  </si>
  <si>
    <t xml:space="preserve">Mühendisler </t>
  </si>
  <si>
    <t>Memurlar</t>
  </si>
  <si>
    <t>Suçlunun</t>
  </si>
  <si>
    <t>avcıları</t>
  </si>
  <si>
    <t>son</t>
  </si>
  <si>
    <t>çatışmada</t>
  </si>
  <si>
    <t>dikkatsizlik</t>
  </si>
  <si>
    <t>yüzünden</t>
  </si>
  <si>
    <t>yaralandılar.</t>
  </si>
  <si>
    <t>Suçluların</t>
  </si>
  <si>
    <t>avcısı</t>
  </si>
  <si>
    <t>Suçlu</t>
  </si>
  <si>
    <t>Suçlular</t>
  </si>
  <si>
    <t>koordinatörleri</t>
  </si>
  <si>
    <t>yarınki</t>
  </si>
  <si>
    <t>önemli</t>
  </si>
  <si>
    <t>koordinatörü</t>
  </si>
  <si>
    <t>Engellinin</t>
  </si>
  <si>
    <t>ufacık</t>
  </si>
  <si>
    <t>zamma</t>
  </si>
  <si>
    <t>anlamsızca</t>
  </si>
  <si>
    <t>çok</t>
  </si>
  <si>
    <t>sevindiler.</t>
  </si>
  <si>
    <t>Engellilerin</t>
  </si>
  <si>
    <t>Engelli</t>
  </si>
  <si>
    <t>Engelliler</t>
  </si>
  <si>
    <t>Partnerin</t>
  </si>
  <si>
    <t>terapistleri</t>
  </si>
  <si>
    <t>zor</t>
  </si>
  <si>
    <t>durum</t>
  </si>
  <si>
    <t>karşısında</t>
  </si>
  <si>
    <t>ihtiyatlı</t>
  </si>
  <si>
    <t>davrandılar.</t>
  </si>
  <si>
    <t>Partnerlerin</t>
  </si>
  <si>
    <t>terapisti</t>
  </si>
  <si>
    <t>Partner</t>
  </si>
  <si>
    <t>Partnerler</t>
  </si>
  <si>
    <t>Sporcunun</t>
  </si>
  <si>
    <t>eğitmenleri</t>
  </si>
  <si>
    <t>yoğun</t>
  </si>
  <si>
    <t>hazırlık</t>
  </si>
  <si>
    <t xml:space="preserve">döneminden </t>
  </si>
  <si>
    <t>yoruldular.</t>
  </si>
  <si>
    <t>Sporcuların</t>
  </si>
  <si>
    <t>eğitmeni</t>
  </si>
  <si>
    <t>Sporcu</t>
  </si>
  <si>
    <t>Sporcular</t>
  </si>
  <si>
    <t xml:space="preserve">İşçinin </t>
  </si>
  <si>
    <t>sorumluları</t>
  </si>
  <si>
    <t>soğuk</t>
  </si>
  <si>
    <t>kış</t>
  </si>
  <si>
    <t>havasından</t>
  </si>
  <si>
    <t>ötürü</t>
  </si>
  <si>
    <t>hastalandılar.</t>
  </si>
  <si>
    <t>İşçilerin</t>
  </si>
  <si>
    <t>sorumlusu</t>
  </si>
  <si>
    <t>İşçi</t>
  </si>
  <si>
    <t>İşçiler</t>
  </si>
  <si>
    <t>Bankacının</t>
  </si>
  <si>
    <t>analistleri</t>
  </si>
  <si>
    <t>büyük</t>
  </si>
  <si>
    <t>ölçekte</t>
  </si>
  <si>
    <t>veri</t>
  </si>
  <si>
    <t>zorlandılar.</t>
  </si>
  <si>
    <t>Bankacıların</t>
  </si>
  <si>
    <t>analisti</t>
  </si>
  <si>
    <t>Bankacı</t>
  </si>
  <si>
    <t>Bankacılar</t>
  </si>
  <si>
    <t>Yazılımcının</t>
  </si>
  <si>
    <t>direktörleri</t>
  </si>
  <si>
    <t>daha</t>
  </si>
  <si>
    <t>etkili</t>
  </si>
  <si>
    <t>bir</t>
  </si>
  <si>
    <t>özet</t>
  </si>
  <si>
    <t>yazdılar.</t>
  </si>
  <si>
    <t>Yazılımcıların</t>
  </si>
  <si>
    <t>direktörü</t>
  </si>
  <si>
    <t>Yazılımcı</t>
  </si>
  <si>
    <t>Yazılımcılar</t>
  </si>
  <si>
    <t>denetçileri</t>
  </si>
  <si>
    <t xml:space="preserve">tüm </t>
  </si>
  <si>
    <t xml:space="preserve">üretim </t>
  </si>
  <si>
    <t>aşamasını</t>
  </si>
  <si>
    <t>dikkatle</t>
  </si>
  <si>
    <t>izlediler.</t>
  </si>
  <si>
    <t>denetçisi</t>
  </si>
  <si>
    <t>savunucuları</t>
  </si>
  <si>
    <t>bildirgeyi</t>
  </si>
  <si>
    <t>yüksek</t>
  </si>
  <si>
    <t>sesle</t>
  </si>
  <si>
    <t>okudular.</t>
  </si>
  <si>
    <t>savunucusu</t>
  </si>
  <si>
    <t>Personelin</t>
  </si>
  <si>
    <t>müfettişleri</t>
  </si>
  <si>
    <t>işyerindeki</t>
  </si>
  <si>
    <t>derli</t>
  </si>
  <si>
    <t>toplu</t>
  </si>
  <si>
    <t>sistemi</t>
  </si>
  <si>
    <t>beğendiler.</t>
  </si>
  <si>
    <t>Personellerin</t>
  </si>
  <si>
    <t>müfettişi</t>
  </si>
  <si>
    <t>Personel</t>
  </si>
  <si>
    <t>Personeller</t>
  </si>
  <si>
    <t>Kiracının</t>
  </si>
  <si>
    <t>arabulucuları</t>
  </si>
  <si>
    <t>boyu</t>
  </si>
  <si>
    <t>sözleşme</t>
  </si>
  <si>
    <t>Kiracıların</t>
  </si>
  <si>
    <t>Kiracı</t>
  </si>
  <si>
    <t>Kiracılar</t>
  </si>
  <si>
    <t>Sentence</t>
  </si>
  <si>
    <t>Item_set</t>
  </si>
  <si>
    <t>Item_Type</t>
  </si>
  <si>
    <t>Correct_Resp</t>
  </si>
  <si>
    <t>Group</t>
  </si>
  <si>
    <t>Exp_No</t>
  </si>
  <si>
    <t>Göçmenin sözcüleri geçen hafta protestoda aralıksız bağırdılar.</t>
  </si>
  <si>
    <t>experimental</t>
  </si>
  <si>
    <t>A</t>
  </si>
  <si>
    <t>Exp1</t>
  </si>
  <si>
    <t>Göçmenlerin sözcüsü geçen hafta protestoda aralıksız bağırdılar.</t>
  </si>
  <si>
    <t>B</t>
  </si>
  <si>
    <t>Göçmenin sözcüsü geçen hafta protestoda aralıksız bağırdılar.</t>
  </si>
  <si>
    <t>C</t>
  </si>
  <si>
    <t>Göçmen sözcüleri geçen hafta protestoda aralıksız bağırdılar.</t>
  </si>
  <si>
    <t>D</t>
  </si>
  <si>
    <t>Göçmenler sözcüsü geçen hafta protestoda aralıksız bağırdılar.</t>
  </si>
  <si>
    <t>E</t>
  </si>
  <si>
    <t>Göçmen sözcüsü geçen hafta protestoda aralıksız bağırdılar.</t>
  </si>
  <si>
    <t>F</t>
  </si>
  <si>
    <t>Stajyerin temsilcileri bugünkü toplantıda edepsiz edepsiz konuştular.</t>
  </si>
  <si>
    <t>Stajyerlerin temsilcisi bugünkü toplantıda edepsiz edepsiz konuştular.</t>
  </si>
  <si>
    <t>Stajyerin temsilcisi bugünkü toplantıda edepsiz edepsiz konuştular.</t>
  </si>
  <si>
    <t>Stajyer temsilcileri bugünkü toplantıda edepsiz edepsiz konuştular.</t>
  </si>
  <si>
    <t>Stajyerler temsilcisi bugünkü toplantıda edepsiz edepsiz konuştular.</t>
  </si>
  <si>
    <t>Stajyer temsilcisi bugünkü toplantıda edepsiz edepsiz konuştular.</t>
  </si>
  <si>
    <t>Esnafın yöneticileri seçimden sonra senatoda sertçe tartıştılar.</t>
  </si>
  <si>
    <t>Esnafların yöneticisi seçimden sonra senatoda sertçe tartıştılar.</t>
  </si>
  <si>
    <t>Esnafın yöneticisi seçimden sonra senatoda sertçe tartıştılar.</t>
  </si>
  <si>
    <t>Esnaf yöneticileri seçimden sonra senatoda sertçe tartıştılar.</t>
  </si>
  <si>
    <t>Esnaflar yöneticisi seçimden sonra senatoda sertçe tartıştılar.</t>
  </si>
  <si>
    <t>Esnaf yöneticisi seçimden sonra senatoda sertçe tartıştılar.</t>
  </si>
  <si>
    <t>Mültecinin avukatları duruşma için uzun süre hazırlandılar.</t>
  </si>
  <si>
    <t>Mültecilerin avukatı duruşma için uzun süre hazırlandılar.</t>
  </si>
  <si>
    <t>Mültecinin avukatı duruşma için uzun süre hazırlandılar.</t>
  </si>
  <si>
    <t>Mülteci avukatları duruşma için uzun süre hazırlandılar.</t>
  </si>
  <si>
    <t>Mülteciler avukatı duruşma için uzun süre hazırlandılar.</t>
  </si>
  <si>
    <t>Mülteci avukatı duruşma için uzun süre hazırlandılar.</t>
  </si>
  <si>
    <t>Padişahın tarihçileri yolculuk için yavaşça trene bindiler.</t>
  </si>
  <si>
    <t>Padişahların tarihçisi yolculuk için yavaşça trene bindiler.</t>
  </si>
  <si>
    <t>Padişahın tarihçisi yolculuk için yavaşça trene bindiler.</t>
  </si>
  <si>
    <t>Padişah tarihçileri yolculuk için yavaşça trene bindiler.</t>
  </si>
  <si>
    <t>Padişahlar tarihçisi yolculuk için yavaşça trene bindiler.</t>
  </si>
  <si>
    <t>Padişah tarihçisi yolculuk için yavaşça trene bindiler.</t>
  </si>
  <si>
    <t>Marangozun ustaları çoktan  yeni semtteki atölyeye ulaşmışlar.</t>
  </si>
  <si>
    <t>Marangozların ustası çoktan  yeni semtteki atölyeye ulaşmışlar.</t>
  </si>
  <si>
    <t>Marangozun ustası çoktan  yeni semtteki atölyeye ulaşmışlar.</t>
  </si>
  <si>
    <t>Marangoz ustaları çoktan  yeni semtteki atölyeye ulaşmışlar.</t>
  </si>
  <si>
    <t>Marangozlar ustası çoktan  yeni semtteki atölyeye ulaşmışlar.</t>
  </si>
  <si>
    <t>Marangoz ustası çoktan  yeni semtteki atölyeye ulaşmışlar.</t>
  </si>
  <si>
    <t>Bakanın sekreterleri utanç içinde koridordaki kapıya yöneldiler.</t>
  </si>
  <si>
    <t>Bakanların sekreteri utanç içinde koridordaki kapıya yöneldiler.</t>
  </si>
  <si>
    <t>Bakanın sekreteri utanç içinde koridordaki kapıya yöneldiler.</t>
  </si>
  <si>
    <t>Bakan sekreterleri utanç içinde koridordaki kapıya yöneldiler.</t>
  </si>
  <si>
    <t>Bakanlar sekreteri utanç içinde koridordaki kapıya yöneldiler.</t>
  </si>
  <si>
    <t>Bakan sekreteri utanç içinde koridordaki kapıya yöneldiler.</t>
  </si>
  <si>
    <t>Oyuncunun koçları ertesi gün provaya geç geldiler.</t>
  </si>
  <si>
    <t>Oyuncuların koçu ertesi gün provaya geç geldiler.</t>
  </si>
  <si>
    <t>Oyuncunun koçu ertesi gün provaya geç geldiler.</t>
  </si>
  <si>
    <t>Oyuncu koçları ertesi gün provaya geç geldiler.</t>
  </si>
  <si>
    <t>Oyuncular koçu ertesi gün provaya geç geldiler.</t>
  </si>
  <si>
    <t>Oyuncu koçu ertesi gün provaya geç geldiler.</t>
  </si>
  <si>
    <t>Yatırımcının danışmanları dönem sonundaki toplantıdan öfkeyle çıktılar.</t>
  </si>
  <si>
    <t>Yatırımcıların danışmanı dönem sonundaki toplantıdan öfkeyle çıktılar.</t>
  </si>
  <si>
    <t>Yatırımcının danışmanı dönem sonundaki toplantıdan öfkeyle çıktılar.</t>
  </si>
  <si>
    <t>Yatırımcı danışmanları dönem sonundaki toplantıdan öfkeyle çıktılar.</t>
  </si>
  <si>
    <t>Yatırımcılar danışmanı dönem sonundaki toplantıdan öfkeyle çıktılar.</t>
  </si>
  <si>
    <t>Yatırımcı danışmanı dönem sonundaki toplantıdan öfkeyle çıktılar.</t>
  </si>
  <si>
    <t>Mültecinin dostları savaşın ardından yardım çağrısına koştular.</t>
  </si>
  <si>
    <t>Mültecilerin dostu savaşın ardından yardım çağrısına koştular.</t>
  </si>
  <si>
    <t>Mültecinin dostu savaşın ardından yardım çağrısına koştular.</t>
  </si>
  <si>
    <t>Mülteci dostları savaşın ardından yardım çağrısına koştular.</t>
  </si>
  <si>
    <t>Mülteciler dostu savaşın ardından yardım çağrısına koştular.</t>
  </si>
  <si>
    <t>Mülteci dostu savaşın ardından yardım çağrısına koştular.</t>
  </si>
  <si>
    <t>Sendikacının vekilleri görüşme salonundan hızlı hızlı uzaklaştılar.</t>
  </si>
  <si>
    <t>Sendikacıların vekili görüşme salonundan hızlı hızlı uzaklaştılar.</t>
  </si>
  <si>
    <t>Sendikacının vekili görüşme salonundan hızlı hızlı uzaklaştılar.</t>
  </si>
  <si>
    <t>Sendikacı vekilleri görüşme salonundan hızlı hızlı uzaklaştılar.</t>
  </si>
  <si>
    <t>Sendikacılar vekili görüşme salonundan hızlı hızlı uzaklaştılar.</t>
  </si>
  <si>
    <t>Sendikacı vekili görüşme salonundan hızlı hızlı uzaklaştılar.</t>
  </si>
  <si>
    <t>Memurun düşmanları kavganın ortasında aniden habersizce kaçtılar.</t>
  </si>
  <si>
    <t>Memurların düşmanı kavganın ortasında aniden habersizce kaçtılar.</t>
  </si>
  <si>
    <t>Memurun düşmanı kavganın ortasında aniden habersizce kaçtılar.</t>
  </si>
  <si>
    <t>Memur düşmanları kavganın ortasında aniden habersizce kaçtılar.</t>
  </si>
  <si>
    <t>Memurlar düşmanı kavganın ortasında aniden habersizce kaçtılar.</t>
  </si>
  <si>
    <t>Memur düşmanı kavganın ortasında aniden habersizce kaçtılar.</t>
  </si>
  <si>
    <t>Suçlunun avcıları son çatışmada dikkatsizlik yüzünden yaralandılar.</t>
  </si>
  <si>
    <t>Suçluların avcısı son çatışmada dikkatsizlik yüzünden yaralandılar.</t>
  </si>
  <si>
    <t>Suçlunun avcısı son çatışmada dikkatsizlik yüzünden yaralandılar.</t>
  </si>
  <si>
    <t>Suçlu avcıları son çatışmada dikkatsizlik yüzünden yaralandılar.</t>
  </si>
  <si>
    <t>Suçlular avcısı son çatışmada dikkatsizlik yüzünden yaralandılar.</t>
  </si>
  <si>
    <t>Suçlu avcısı son çatışmada dikkatsizlik yüzünden yaralandılar.</t>
  </si>
  <si>
    <t>Sendikacının koordinatörleri yarınki önemli görüşme için hazırlandılar.</t>
  </si>
  <si>
    <t>Sendikacıların koordinatörü yarınki önemli görüşme için hazırlandılar.</t>
  </si>
  <si>
    <t>Sendikacının koordinatörü yarınki önemli görüşme için hazırlandılar.</t>
  </si>
  <si>
    <t>Sendikacı koordinatörleri yarınki önemli görüşme için hazırlandılar.</t>
  </si>
  <si>
    <t>Sendikacılar koordinatörü yarınki önemli görüşme için hazırlandılar.</t>
  </si>
  <si>
    <t>Sendikacı koordinatörü yarınki önemli görüşme için hazırlandılar.</t>
  </si>
  <si>
    <t>Engellinin bakıcıları ufacık zamma anlamsızca çok sevindiler.</t>
  </si>
  <si>
    <t>Engellilerin bakıcısı ufacık zamma anlamsızca çok sevindiler.</t>
  </si>
  <si>
    <t>Engellinin bakıcısı ufacık zamma anlamsızca çok sevindiler.</t>
  </si>
  <si>
    <t>Engelli bakıcıları ufacık zamma anlamsızca çok sevindiler.</t>
  </si>
  <si>
    <t>Engelliler bakıcısı ufacık zamma anlamsızca çok sevindiler.</t>
  </si>
  <si>
    <t>Engelli bakıcısı ufacık zamma anlamsızca çok sevindiler.</t>
  </si>
  <si>
    <t>Partnerin terapistleri zor durum karşısında ihtiyatlı davrandılar.</t>
  </si>
  <si>
    <t>Partnerlerin terapisti zor durum karşısında ihtiyatlı davrandılar.</t>
  </si>
  <si>
    <t>Partnerin terapisti zor durum karşısında ihtiyatlı davrandılar.</t>
  </si>
  <si>
    <t>Partner terapistleri zor durum karşısında ihtiyatlı davrandılar.</t>
  </si>
  <si>
    <t>Partnerler terapisti zor durum karşısında ihtiyatlı davrandılar.</t>
  </si>
  <si>
    <t>Partner terapisti zor durum karşısında ihtiyatlı davrandılar.</t>
  </si>
  <si>
    <t>Sporcunun eğitmenleri yoğun hazırlık döneminden  sonra yoruldular.</t>
  </si>
  <si>
    <t>Sporcuların eğitmeni yoğun hazırlık döneminden  sonra yoruldular.</t>
  </si>
  <si>
    <t>Sporcunun eğitmeni yoğun hazırlık döneminden  sonra yoruldular.</t>
  </si>
  <si>
    <t>Sporcu eğitmenleri yoğun hazırlık döneminden  sonra yoruldular.</t>
  </si>
  <si>
    <t>Sporcular eğitmeni yoğun hazırlık döneminden  sonra yoruldular.</t>
  </si>
  <si>
    <t>Sporcu eğitmeni yoğun hazırlık döneminden  sonra yoruldular.</t>
  </si>
  <si>
    <t>İşçinin  sorumluları soğuk kış havasından ötürü hastalandılar.</t>
  </si>
  <si>
    <t>İşçilerin sorumlusu soğuk kış havasından ötürü hastalandılar.</t>
  </si>
  <si>
    <t>İşçinin  sorumlusu soğuk kış havasından ötürü hastalandılar.</t>
  </si>
  <si>
    <t>İşçi sorumluları soğuk kış havasından ötürü hastalandılar.</t>
  </si>
  <si>
    <t>İşçiler sorumlusu soğuk kış havasından ötürü hastalandılar.</t>
  </si>
  <si>
    <t>İşçi sorumlusu soğuk kış havasından ötürü hastalandılar.</t>
  </si>
  <si>
    <t>Bankacının analistleri büyük ölçekte veri karşısında zorlandılar.</t>
  </si>
  <si>
    <t>Bankacıların analisti büyük ölçekte veri karşısında zorlandılar.</t>
  </si>
  <si>
    <t>Bankacının analisti büyük ölçekte veri karşısında zorlandılar.</t>
  </si>
  <si>
    <t>Bankacı analistleri büyük ölçekte veri karşısında zorlandılar.</t>
  </si>
  <si>
    <t>Bankacılar analisti büyük ölçekte veri karşısında zorlandılar.</t>
  </si>
  <si>
    <t>Bankacı analisti büyük ölçekte veri karşısında zorlandılar.</t>
  </si>
  <si>
    <t>Yazılımcının direktörleri daha etkili bir özet yazdılar.</t>
  </si>
  <si>
    <t>Yazılımcıların direktörü daha etkili bir özet yazdılar.</t>
  </si>
  <si>
    <t>Yazılımcının direktörü daha etkili bir özet yazdılar.</t>
  </si>
  <si>
    <t>Yazılımcı direktörleri daha etkili bir özet yazdılar.</t>
  </si>
  <si>
    <t>Yazılımcılar direktörü daha etkili bir özet yazdılar.</t>
  </si>
  <si>
    <t>Yazılımcı direktörü daha etkili bir özet yazdılar.</t>
  </si>
  <si>
    <t>İşçinin  denetçileri tüm  üretim  aşamasını dikkatle izlediler.</t>
  </si>
  <si>
    <t>İşçilerin denetçisi tüm  üretim  aşamasını dikkatle izlediler.</t>
  </si>
  <si>
    <t>İşçinin  denetçisi tüm  üretim  aşamasını dikkatle izlediler.</t>
  </si>
  <si>
    <t>İşçi denetçileri tüm  üretim  aşamasını dikkatle izlediler.</t>
  </si>
  <si>
    <t>İşçiler denetçisi tüm  üretim  aşamasını dikkatle izlediler.</t>
  </si>
  <si>
    <t>İşçi denetçisi tüm  üretim  aşamasını dikkatle izlediler.</t>
  </si>
  <si>
    <t>Engellinin savunucuları yeni bildirgeyi yüksek sesle okudular.</t>
  </si>
  <si>
    <t>Engellilerin savunucusu yeni bildirgeyi yüksek sesle okudular.</t>
  </si>
  <si>
    <t>Engellinin savunucusu yeni bildirgeyi yüksek sesle okudular.</t>
  </si>
  <si>
    <t>Engelli savunucuları yeni bildirgeyi yüksek sesle okudular.</t>
  </si>
  <si>
    <t>Engelliler savunucusu yeni bildirgeyi yüksek sesle okudular.</t>
  </si>
  <si>
    <t>Engelli savunucusu yeni bildirgeyi yüksek sesle okudular.</t>
  </si>
  <si>
    <t>Personelin müfettişleri işyerindeki derli toplu sistemi beğendiler.</t>
  </si>
  <si>
    <t>Personellerin müfettişi işyerindeki derli toplu sistemi beğendiler.</t>
  </si>
  <si>
    <t>Personelin müfettişi işyerindeki derli toplu sistemi beğendiler.</t>
  </si>
  <si>
    <t>Personel müfettişleri işyerindeki derli toplu sistemi beğendiler.</t>
  </si>
  <si>
    <t>Personeller müfettişi işyerindeki derli toplu sistemi beğendiler.</t>
  </si>
  <si>
    <t>Personel müfettişi işyerindeki derli toplu sistemi beğendiler.</t>
  </si>
  <si>
    <t>Kiracının arabulucuları hafta boyu sözleşme için çalıştılar.</t>
  </si>
  <si>
    <t>Kiracıların arabulucusu hafta boyu sözleşme için çalıştılar.</t>
  </si>
  <si>
    <t>Kiracının arabulucusu hafta boyu sözleşme için çalıştılar.</t>
  </si>
  <si>
    <t>Kiracı arabulucuları hafta boyu sözleşme için çalıştılar.</t>
  </si>
  <si>
    <t>Kiracılar arabulucusu hafta boyu sözleşme için çalıştılar.</t>
  </si>
  <si>
    <t>Kiracı arabulucusu hafta boyu sözleşme için çalıştılar.</t>
  </si>
  <si>
    <t>Müttefikler askeri açıdan önemli avantajlara sahiptirler.</t>
  </si>
  <si>
    <t>filler</t>
  </si>
  <si>
    <t>PL</t>
  </si>
  <si>
    <t>Yetkililer  havalimanında  daha  etkili bir yaklaşım benimsediler.</t>
  </si>
  <si>
    <t>Avrupalılar Hindistan'ı ararken yanlışlıkla Amerika'yı keşfettiler.</t>
  </si>
  <si>
    <t>Öğrenciler sınavlarda ülke ortalamasının çok üstündeler.</t>
  </si>
  <si>
    <t>Komşular davete katılmayacaklarını kimseye önceden bildirmemişler.</t>
  </si>
  <si>
    <t>Teknisyenler hızlı çalıştıklarından işe tekrar çağırıldılar.</t>
  </si>
  <si>
    <t>Mahalleliler ünlü biri kafeye gelince şok olmuşlar.</t>
  </si>
  <si>
    <t>Şairler seyirci tarafından beğenilmeyince üzüldüler.</t>
  </si>
  <si>
    <t>Patron haftaya bana tüm dosyaları düzenlettirecek.</t>
  </si>
  <si>
    <t>SG</t>
  </si>
  <si>
    <t>Müdür galiba yeni işi yine  bana kitleyecek.</t>
  </si>
  <si>
    <t>Teyzem pazara gitmeden kuzenimi bana emanet eder.</t>
  </si>
  <si>
    <t>Çocuk dün kedisi kaybolunca çılgına döndü.</t>
  </si>
  <si>
    <t>Menajer dizi setindeki bitmeyen kavgalardan bunalmıştır muhtemelen.</t>
  </si>
  <si>
    <t>Heykeltıraş kırılan vazoyu kolayca yapıştırınca yenisini almadı.</t>
  </si>
  <si>
    <t>Satıcı elmalar kurtlandığı için atmak durumunda kaldı.</t>
  </si>
  <si>
    <t>Tiyatrocu yağmurda ıslanan saçını kurulamaya girişti.</t>
  </si>
  <si>
    <t>Çocuklar filmi onsuz izlediklerinde çok bozuldu.</t>
  </si>
  <si>
    <t>Sekreterler aracılığıyla bana ulaştırılan mesajda hakarete uğradım.</t>
  </si>
  <si>
    <t>Gitaristler tarafından hayranlıkla izlenen müzisyen hayatını kaybetti.</t>
  </si>
  <si>
    <t>Çiftçiler açısından faydalı olan düzenleme maalesef reddedildi.</t>
  </si>
  <si>
    <t>Polisler karşısında çaresiz kalan kadın suskundu.</t>
  </si>
  <si>
    <t>Taksiciler karşısında vali ne yapacağını bilemez haldeydi.</t>
  </si>
  <si>
    <t>Muhasebeciler açısından sorun olmazsa şirket kredi çekecek.</t>
  </si>
  <si>
    <t>Sanatçılar destek verince kameraman kendine geldi.</t>
  </si>
  <si>
    <t>Arkadaşım profesörün öğrencisi başarılı olunca çok sevindi.</t>
  </si>
  <si>
    <t>Garson patronların yemeğini düşürünce yenisini getirdi.</t>
  </si>
  <si>
    <t>Müşteri tamircilerin dükkanını bulamayıp saatlerce sinirle dolaştı.</t>
  </si>
  <si>
    <t>Bakıcı valinin çocukları görünmeyince çok gerilmiş.</t>
  </si>
  <si>
    <t>Sürücü trafik ışıkları birden bozulursa panikler.</t>
  </si>
  <si>
    <t>İzleyici başrol oyuncusunu sokakta görünce çok heyecanlandı.</t>
  </si>
  <si>
    <t>Vali  bölge  meclislerinin  seçimini kurulda belirler.</t>
  </si>
  <si>
    <t>Öğrenci matematik hocasına tekrar sorarak hata yaptı.</t>
  </si>
  <si>
    <t>İşçi dün yaşanan kazada öldüklerinden gazetede okumamış.</t>
  </si>
  <si>
    <t>Sekreter toplantı notların dikkatle yazmadıklarından sinirlendi.</t>
  </si>
  <si>
    <t>Ev arkadaşı belki birini kesin görmüşmüş.</t>
  </si>
  <si>
    <t>Kaptan geminin çarptığından akşam haberlerde izlemedi.</t>
  </si>
  <si>
    <t>Doktor tarafından hastaya ilaçlı serum takmadığını gördü.</t>
  </si>
  <si>
    <t>Kadın beğenmediği mücevherlerde hırsızlık olunca ağlaşıldı.</t>
  </si>
  <si>
    <t>Usta bir gitarist olduğu hayran olundu.</t>
  </si>
  <si>
    <t>Stajyer ofis malzemelerini dün  alacak biliyorum.</t>
  </si>
  <si>
    <t>Öğrenciler fizik yüzünden sınıfta bıraktığına yeni öğrendim.</t>
  </si>
  <si>
    <t>Gazeteciler izleyicinin hemen sonra sahneye çıkılacak.</t>
  </si>
  <si>
    <t>Veterinerler köpeğe dün itinayla bakacak sandım.</t>
  </si>
  <si>
    <t>Gazeteciler izlediğimiz haberi dün  paylaşmayacak bence.</t>
  </si>
  <si>
    <t>Müzisyenler gösteri sonrası  eşini hiç selamlar.</t>
  </si>
  <si>
    <t>Ziyaretçiler hiçbir gün  mahkumun izni var sandı.</t>
  </si>
  <si>
    <t>Yetkililer kantindeki kahveye bir  zam daha getirilmedi.</t>
  </si>
  <si>
    <t>Dansçılar lüks otelde konakladıklarını sanıldı.</t>
  </si>
  <si>
    <t>SubjNo</t>
  </si>
  <si>
    <t>VerbNo</t>
  </si>
  <si>
    <t>isCompound</t>
  </si>
  <si>
    <t>Subject</t>
  </si>
  <si>
    <t>Adv5</t>
  </si>
  <si>
    <t>countGram</t>
  </si>
  <si>
    <t>countUngram</t>
  </si>
  <si>
    <t>verbSGCount</t>
  </si>
  <si>
    <t>Müttefikler</t>
  </si>
  <si>
    <t>askeri</t>
  </si>
  <si>
    <t>açıdan</t>
  </si>
  <si>
    <t>avantajlara</t>
  </si>
  <si>
    <t>sahiptirler.</t>
  </si>
  <si>
    <t xml:space="preserve">Yetkililer </t>
  </si>
  <si>
    <t xml:space="preserve">havalimanında </t>
  </si>
  <si>
    <t xml:space="preserve">daha </t>
  </si>
  <si>
    <t>yaklaşım</t>
  </si>
  <si>
    <t>benimsediler.</t>
  </si>
  <si>
    <t>Avrupalılar</t>
  </si>
  <si>
    <t>Hindistan'ı</t>
  </si>
  <si>
    <t>ararken</t>
  </si>
  <si>
    <t>yanlışlıkla</t>
  </si>
  <si>
    <t>Amerika'yı</t>
  </si>
  <si>
    <t>keşfettiler.</t>
  </si>
  <si>
    <t>Öğrenciler</t>
  </si>
  <si>
    <t>sınavlarda</t>
  </si>
  <si>
    <t>ülke</t>
  </si>
  <si>
    <t>ortalamasının</t>
  </si>
  <si>
    <t>üstündeler.</t>
  </si>
  <si>
    <t>Komşular</t>
  </si>
  <si>
    <t>davete</t>
  </si>
  <si>
    <t>katılmayacaklarını</t>
  </si>
  <si>
    <t>kimseye</t>
  </si>
  <si>
    <t>önceden</t>
  </si>
  <si>
    <t>bildirmemişler.</t>
  </si>
  <si>
    <t>Teknisyenler</t>
  </si>
  <si>
    <t>çalıştıklarından</t>
  </si>
  <si>
    <t>işe</t>
  </si>
  <si>
    <t>tekrar</t>
  </si>
  <si>
    <t>çağırıldılar.</t>
  </si>
  <si>
    <t>Mahalleliler</t>
  </si>
  <si>
    <t>ünlü</t>
  </si>
  <si>
    <t>biri</t>
  </si>
  <si>
    <t>kafeye</t>
  </si>
  <si>
    <t>gelince</t>
  </si>
  <si>
    <t>şok</t>
  </si>
  <si>
    <t>olmuşlar.</t>
  </si>
  <si>
    <t>Şairler</t>
  </si>
  <si>
    <t>seyirci</t>
  </si>
  <si>
    <t>tarafından</t>
  </si>
  <si>
    <t>beğenilmeyince</t>
  </si>
  <si>
    <t>üzüldüler.</t>
  </si>
  <si>
    <t>Patron</t>
  </si>
  <si>
    <t>haftaya</t>
  </si>
  <si>
    <t>bana</t>
  </si>
  <si>
    <t>tüm</t>
  </si>
  <si>
    <t>dosyaları</t>
  </si>
  <si>
    <t>düzenlettirecek.</t>
  </si>
  <si>
    <t>Müdür</t>
  </si>
  <si>
    <t>galiba</t>
  </si>
  <si>
    <t>işi</t>
  </si>
  <si>
    <t xml:space="preserve">yine </t>
  </si>
  <si>
    <t>kitleyecek.</t>
  </si>
  <si>
    <t>Teyzem</t>
  </si>
  <si>
    <t>pazara</t>
  </si>
  <si>
    <t>gitmeden</t>
  </si>
  <si>
    <t>kuzenimi</t>
  </si>
  <si>
    <t>emanet</t>
  </si>
  <si>
    <t>eder.</t>
  </si>
  <si>
    <t>Çocuk</t>
  </si>
  <si>
    <t>dün</t>
  </si>
  <si>
    <t>kedisi</t>
  </si>
  <si>
    <t>kaybolunca</t>
  </si>
  <si>
    <t>çılgına</t>
  </si>
  <si>
    <t>döndü.</t>
  </si>
  <si>
    <t>Menajer</t>
  </si>
  <si>
    <t>dizi</t>
  </si>
  <si>
    <t>setindeki</t>
  </si>
  <si>
    <t>bitmeyen</t>
  </si>
  <si>
    <t>kavgalardan</t>
  </si>
  <si>
    <t>bunalmıştır</t>
  </si>
  <si>
    <t>muhtemelen.</t>
  </si>
  <si>
    <t>Heykeltıraş</t>
  </si>
  <si>
    <t>kırılan</t>
  </si>
  <si>
    <t>vazoyu</t>
  </si>
  <si>
    <t>kolayca</t>
  </si>
  <si>
    <t>yapıştırınca</t>
  </si>
  <si>
    <t>yenisini</t>
  </si>
  <si>
    <t>almadı.</t>
  </si>
  <si>
    <t>Satıcı</t>
  </si>
  <si>
    <t>elmalar</t>
  </si>
  <si>
    <t>kurtlandığı</t>
  </si>
  <si>
    <t>atmak</t>
  </si>
  <si>
    <t>durumunda</t>
  </si>
  <si>
    <t>kaldı.</t>
  </si>
  <si>
    <t>Tiyatrocu</t>
  </si>
  <si>
    <t>yağmurda</t>
  </si>
  <si>
    <t>ıslanan</t>
  </si>
  <si>
    <t>saçını</t>
  </si>
  <si>
    <t>kurulamaya</t>
  </si>
  <si>
    <t>girişti.</t>
  </si>
  <si>
    <t>Çocuklar</t>
  </si>
  <si>
    <t>filmi</t>
  </si>
  <si>
    <t>onsuz</t>
  </si>
  <si>
    <t>izlediklerinde</t>
  </si>
  <si>
    <t>bozuldu.</t>
  </si>
  <si>
    <t>Sekreterler</t>
  </si>
  <si>
    <t>aracılığıyla</t>
  </si>
  <si>
    <t>ulaştırılan</t>
  </si>
  <si>
    <t>mesajda</t>
  </si>
  <si>
    <t>hakarete</t>
  </si>
  <si>
    <t>uğradım.</t>
  </si>
  <si>
    <t>Gitaristler</t>
  </si>
  <si>
    <t>hayranlıkla</t>
  </si>
  <si>
    <t>izlenen</t>
  </si>
  <si>
    <t>müzisyen</t>
  </si>
  <si>
    <t>hayatını</t>
  </si>
  <si>
    <t>kaybetti.</t>
  </si>
  <si>
    <t>Çiftçiler</t>
  </si>
  <si>
    <t>açısından</t>
  </si>
  <si>
    <t>faydalı</t>
  </si>
  <si>
    <t>olan</t>
  </si>
  <si>
    <t>düzenleme</t>
  </si>
  <si>
    <t>maalesef</t>
  </si>
  <si>
    <t>reddedildi.</t>
  </si>
  <si>
    <t>Polisler</t>
  </si>
  <si>
    <t>çaresiz</t>
  </si>
  <si>
    <t>kalan</t>
  </si>
  <si>
    <t>kadın</t>
  </si>
  <si>
    <t>suskundu.</t>
  </si>
  <si>
    <t>Taksiciler</t>
  </si>
  <si>
    <t>vali</t>
  </si>
  <si>
    <t>ne</t>
  </si>
  <si>
    <t>yapacağını</t>
  </si>
  <si>
    <t>bilemez</t>
  </si>
  <si>
    <t>haldeydi.</t>
  </si>
  <si>
    <t>Muhasebeciler</t>
  </si>
  <si>
    <t>sorun</t>
  </si>
  <si>
    <t>olmazsa</t>
  </si>
  <si>
    <t>şirket</t>
  </si>
  <si>
    <t>kredi</t>
  </si>
  <si>
    <t>çekecek.</t>
  </si>
  <si>
    <t>Sanatçılar</t>
  </si>
  <si>
    <t>destek</t>
  </si>
  <si>
    <t>verince</t>
  </si>
  <si>
    <t>kameraman</t>
  </si>
  <si>
    <t>kendine</t>
  </si>
  <si>
    <t>geldi.</t>
  </si>
  <si>
    <t>Arkadaşım</t>
  </si>
  <si>
    <t>profesörün</t>
  </si>
  <si>
    <t>öğrencisi</t>
  </si>
  <si>
    <t>başarılı</t>
  </si>
  <si>
    <t>olunca</t>
  </si>
  <si>
    <t>sevindi.</t>
  </si>
  <si>
    <t>Garson</t>
  </si>
  <si>
    <t>patronların</t>
  </si>
  <si>
    <t>yemeğini</t>
  </si>
  <si>
    <t>düşürünce</t>
  </si>
  <si>
    <t>getirdi.</t>
  </si>
  <si>
    <t>Müşteri</t>
  </si>
  <si>
    <t>tamircilerin</t>
  </si>
  <si>
    <t>dükkanını</t>
  </si>
  <si>
    <t>bulamayıp</t>
  </si>
  <si>
    <t>saatlerce</t>
  </si>
  <si>
    <t>sinirle</t>
  </si>
  <si>
    <t>dolaştı.</t>
  </si>
  <si>
    <t>Bakıcı</t>
  </si>
  <si>
    <t>valinin</t>
  </si>
  <si>
    <t>çocukları</t>
  </si>
  <si>
    <t>görünmeyince</t>
  </si>
  <si>
    <t>gerilmiş.</t>
  </si>
  <si>
    <t>Sürücü</t>
  </si>
  <si>
    <t>trafik</t>
  </si>
  <si>
    <t>ışıkları</t>
  </si>
  <si>
    <t>birden</t>
  </si>
  <si>
    <t>bozulursa</t>
  </si>
  <si>
    <t>panikler.</t>
  </si>
  <si>
    <t>İzleyici</t>
  </si>
  <si>
    <t>başrol</t>
  </si>
  <si>
    <t>oyuncusunu</t>
  </si>
  <si>
    <t>sokakta</t>
  </si>
  <si>
    <t>görünce</t>
  </si>
  <si>
    <t>heyecanlandı.</t>
  </si>
  <si>
    <t xml:space="preserve">Vali </t>
  </si>
  <si>
    <t xml:space="preserve">bölge </t>
  </si>
  <si>
    <t xml:space="preserve">meclislerinin </t>
  </si>
  <si>
    <t>seçimini</t>
  </si>
  <si>
    <t>kurulda</t>
  </si>
  <si>
    <t>belirler.</t>
  </si>
  <si>
    <t>Öğrenci</t>
  </si>
  <si>
    <t>matematik</t>
  </si>
  <si>
    <t>hocasına</t>
  </si>
  <si>
    <t>sorarak</t>
  </si>
  <si>
    <t>hata</t>
  </si>
  <si>
    <t>yaptı.</t>
  </si>
  <si>
    <t>yaşanan</t>
  </si>
  <si>
    <t>kazada</t>
  </si>
  <si>
    <t>öldüklerinden</t>
  </si>
  <si>
    <t>gazetede</t>
  </si>
  <si>
    <t>okumamış.</t>
  </si>
  <si>
    <t>Sekreter</t>
  </si>
  <si>
    <t>toplantı</t>
  </si>
  <si>
    <t>notların</t>
  </si>
  <si>
    <t>yazmadıklarından</t>
  </si>
  <si>
    <t>sinirlendi.</t>
  </si>
  <si>
    <t>Ev</t>
  </si>
  <si>
    <t>arkadaşı</t>
  </si>
  <si>
    <t>belki</t>
  </si>
  <si>
    <t>birini</t>
  </si>
  <si>
    <t>kesin</t>
  </si>
  <si>
    <t>görmüşmüş.</t>
  </si>
  <si>
    <t>Kaptan</t>
  </si>
  <si>
    <t>geminin</t>
  </si>
  <si>
    <t>çarptığından</t>
  </si>
  <si>
    <t>akşam</t>
  </si>
  <si>
    <t>haberlerde</t>
  </si>
  <si>
    <t>izlemedi.</t>
  </si>
  <si>
    <t>Doktor</t>
  </si>
  <si>
    <t>hastaya</t>
  </si>
  <si>
    <t>ilaçlı</t>
  </si>
  <si>
    <t>serum</t>
  </si>
  <si>
    <t>takmadığını</t>
  </si>
  <si>
    <t>gördü.</t>
  </si>
  <si>
    <t>Kadın</t>
  </si>
  <si>
    <t>beğenmediği</t>
  </si>
  <si>
    <t>mücevherlerde</t>
  </si>
  <si>
    <t>hırsızlık</t>
  </si>
  <si>
    <t>ağlaşıldı.</t>
  </si>
  <si>
    <t>Usta</t>
  </si>
  <si>
    <t>gitarist</t>
  </si>
  <si>
    <t>olduğu</t>
  </si>
  <si>
    <t>hayran</t>
  </si>
  <si>
    <t>olundu.</t>
  </si>
  <si>
    <t>ofis</t>
  </si>
  <si>
    <t>malzemelerini</t>
  </si>
  <si>
    <t xml:space="preserve">dün </t>
  </si>
  <si>
    <t>alacak</t>
  </si>
  <si>
    <t>biliyorum.</t>
  </si>
  <si>
    <t>fizik</t>
  </si>
  <si>
    <t>sınıfta</t>
  </si>
  <si>
    <t>bıraktığına</t>
  </si>
  <si>
    <t>öğrendim.</t>
  </si>
  <si>
    <t>Gazeteciler</t>
  </si>
  <si>
    <t>izleyicinin</t>
  </si>
  <si>
    <t>sahneye</t>
  </si>
  <si>
    <t>çıkılacak.</t>
  </si>
  <si>
    <t>Veterinerler</t>
  </si>
  <si>
    <t>köpeğe</t>
  </si>
  <si>
    <t>itinayla</t>
  </si>
  <si>
    <t>bakacak</t>
  </si>
  <si>
    <t>sandım.</t>
  </si>
  <si>
    <t>izlediğimiz</t>
  </si>
  <si>
    <t>haberi</t>
  </si>
  <si>
    <t>paylaşmayacak</t>
  </si>
  <si>
    <t>bence.</t>
  </si>
  <si>
    <t>Müzisyenler</t>
  </si>
  <si>
    <t>gösteri</t>
  </si>
  <si>
    <t xml:space="preserve">sonrası </t>
  </si>
  <si>
    <t>eşini</t>
  </si>
  <si>
    <t>hiç</t>
  </si>
  <si>
    <t>selamlar.</t>
  </si>
  <si>
    <t>Ziyaretçiler</t>
  </si>
  <si>
    <t>hiçbir</t>
  </si>
  <si>
    <t xml:space="preserve">gün </t>
  </si>
  <si>
    <t>mahkumun</t>
  </si>
  <si>
    <t>izni</t>
  </si>
  <si>
    <t>var</t>
  </si>
  <si>
    <t>sandı.</t>
  </si>
  <si>
    <t>Yetkililer</t>
  </si>
  <si>
    <t>kantindeki</t>
  </si>
  <si>
    <t>kahveye</t>
  </si>
  <si>
    <t xml:space="preserve">bir </t>
  </si>
  <si>
    <t>zam</t>
  </si>
  <si>
    <t>getirilmedi.</t>
  </si>
  <si>
    <t>Dansçılar</t>
  </si>
  <si>
    <t>lüks</t>
  </si>
  <si>
    <t>otelde</t>
  </si>
  <si>
    <t>konakladıklarını</t>
  </si>
  <si>
    <t>sanıldı.</t>
  </si>
  <si>
    <t>Per list</t>
  </si>
  <si>
    <t>TargetGram</t>
  </si>
  <si>
    <t>gramTotal</t>
  </si>
  <si>
    <t>TargetUngram</t>
  </si>
  <si>
    <t>ungramTotal</t>
  </si>
  <si>
    <t>TargetVerbPL</t>
  </si>
  <si>
    <t>verbSGTotal</t>
  </si>
  <si>
    <t>FillerGram</t>
  </si>
  <si>
    <t>verbPLTotal</t>
  </si>
  <si>
    <t>FillerUngram</t>
  </si>
  <si>
    <t>FillerVerbSG</t>
  </si>
  <si>
    <t>FillerVerbPL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</si>
</sst>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sz val="9.0"/>
      <color rgb="FF000000"/>
      <name val="Helvetica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900FF"/>
        <bgColor rgb="FF9900FF"/>
      </patternFill>
    </fill>
    <fill>
      <patternFill patternType="solid">
        <fgColor theme="7"/>
        <bgColor theme="7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2" numFmtId="0" xfId="0" applyFont="1"/>
    <xf borderId="0" fillId="3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5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3">
        <v>1.0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M2" s="4" t="s">
        <v>21</v>
      </c>
      <c r="N2" s="3" t="s">
        <v>22</v>
      </c>
    </row>
    <row r="3">
      <c r="A3" s="3">
        <v>1.0</v>
      </c>
      <c r="B3" s="3" t="s">
        <v>11</v>
      </c>
      <c r="C3" s="3" t="s">
        <v>23</v>
      </c>
      <c r="D3" s="3" t="s">
        <v>24</v>
      </c>
      <c r="E3" s="3" t="s">
        <v>25</v>
      </c>
      <c r="F3" s="3" t="s">
        <v>15</v>
      </c>
      <c r="G3" s="3" t="s">
        <v>16</v>
      </c>
      <c r="H3" s="3" t="s">
        <v>17</v>
      </c>
      <c r="I3" s="3" t="s">
        <v>18</v>
      </c>
      <c r="J3" s="3" t="s">
        <v>19</v>
      </c>
      <c r="K3" s="3" t="s">
        <v>26</v>
      </c>
      <c r="M3" s="3" t="s">
        <v>27</v>
      </c>
    </row>
    <row r="4">
      <c r="A4" s="3">
        <v>1.0</v>
      </c>
      <c r="B4" s="3" t="s">
        <v>11</v>
      </c>
      <c r="C4" s="3" t="s">
        <v>28</v>
      </c>
      <c r="D4" s="3" t="s">
        <v>13</v>
      </c>
      <c r="E4" s="3" t="s">
        <v>25</v>
      </c>
      <c r="F4" s="3" t="s">
        <v>15</v>
      </c>
      <c r="G4" s="3" t="s">
        <v>16</v>
      </c>
      <c r="H4" s="3" t="s">
        <v>17</v>
      </c>
      <c r="I4" s="3" t="s">
        <v>18</v>
      </c>
      <c r="J4" s="3" t="s">
        <v>19</v>
      </c>
      <c r="K4" s="3" t="s">
        <v>26</v>
      </c>
      <c r="M4" s="3" t="s">
        <v>29</v>
      </c>
    </row>
    <row r="5">
      <c r="A5" s="3">
        <v>1.0</v>
      </c>
      <c r="B5" s="3" t="s">
        <v>30</v>
      </c>
      <c r="C5" s="3" t="s">
        <v>12</v>
      </c>
      <c r="D5" s="3" t="s">
        <v>31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18</v>
      </c>
      <c r="J5" s="3" t="s">
        <v>19</v>
      </c>
      <c r="K5" s="3" t="s">
        <v>20</v>
      </c>
    </row>
    <row r="6">
      <c r="A6" s="3">
        <v>1.0</v>
      </c>
      <c r="B6" s="3" t="s">
        <v>30</v>
      </c>
      <c r="C6" s="3" t="s">
        <v>23</v>
      </c>
      <c r="D6" s="3" t="s">
        <v>32</v>
      </c>
      <c r="E6" s="3" t="s">
        <v>25</v>
      </c>
      <c r="F6" s="3" t="s">
        <v>15</v>
      </c>
      <c r="G6" s="3" t="s">
        <v>16</v>
      </c>
      <c r="H6" s="3" t="s">
        <v>17</v>
      </c>
      <c r="I6" s="3" t="s">
        <v>18</v>
      </c>
      <c r="J6" s="3" t="s">
        <v>19</v>
      </c>
      <c r="K6" s="3" t="s">
        <v>26</v>
      </c>
      <c r="M6" s="1" t="s">
        <v>33</v>
      </c>
      <c r="N6" s="5">
        <f>COUNTIF(K2:K145, "=Yes")/6</f>
        <v>8</v>
      </c>
    </row>
    <row r="7">
      <c r="A7" s="3">
        <v>1.0</v>
      </c>
      <c r="B7" s="3" t="s">
        <v>30</v>
      </c>
      <c r="C7" s="3" t="s">
        <v>28</v>
      </c>
      <c r="D7" s="3" t="s">
        <v>31</v>
      </c>
      <c r="E7" s="3" t="s">
        <v>25</v>
      </c>
      <c r="F7" s="3" t="s">
        <v>15</v>
      </c>
      <c r="G7" s="3" t="s">
        <v>16</v>
      </c>
      <c r="H7" s="3" t="s">
        <v>17</v>
      </c>
      <c r="I7" s="3" t="s">
        <v>18</v>
      </c>
      <c r="J7" s="3" t="s">
        <v>19</v>
      </c>
      <c r="K7" s="3" t="s">
        <v>26</v>
      </c>
      <c r="M7" s="1" t="s">
        <v>34</v>
      </c>
      <c r="N7" s="5">
        <f>COUNTIF(K2:K145, "=No")/6</f>
        <v>16</v>
      </c>
    </row>
    <row r="8">
      <c r="A8" s="3">
        <v>2.0</v>
      </c>
      <c r="B8" s="3" t="s">
        <v>11</v>
      </c>
      <c r="C8" s="3" t="s">
        <v>12</v>
      </c>
      <c r="D8" s="3" t="s">
        <v>35</v>
      </c>
      <c r="E8" s="3" t="s">
        <v>36</v>
      </c>
      <c r="F8" s="3" t="s">
        <v>37</v>
      </c>
      <c r="G8" s="3" t="s">
        <v>38</v>
      </c>
      <c r="H8" s="3" t="s">
        <v>39</v>
      </c>
      <c r="I8" s="3" t="s">
        <v>39</v>
      </c>
      <c r="J8" s="3" t="s">
        <v>40</v>
      </c>
      <c r="K8" s="3" t="s">
        <v>20</v>
      </c>
      <c r="M8" s="1" t="s">
        <v>41</v>
      </c>
      <c r="N8" s="3">
        <v>24.0</v>
      </c>
    </row>
    <row r="9">
      <c r="A9" s="3">
        <v>2.0</v>
      </c>
      <c r="B9" s="3" t="s">
        <v>11</v>
      </c>
      <c r="C9" s="3" t="s">
        <v>23</v>
      </c>
      <c r="D9" s="3" t="s">
        <v>42</v>
      </c>
      <c r="E9" s="3" t="s">
        <v>43</v>
      </c>
      <c r="F9" s="3" t="s">
        <v>37</v>
      </c>
      <c r="G9" s="3" t="s">
        <v>38</v>
      </c>
      <c r="H9" s="3" t="s">
        <v>39</v>
      </c>
      <c r="I9" s="3" t="s">
        <v>39</v>
      </c>
      <c r="J9" s="3" t="s">
        <v>40</v>
      </c>
      <c r="K9" s="3" t="s">
        <v>26</v>
      </c>
    </row>
    <row r="10">
      <c r="A10" s="3">
        <v>2.0</v>
      </c>
      <c r="B10" s="3" t="s">
        <v>11</v>
      </c>
      <c r="C10" s="3" t="s">
        <v>28</v>
      </c>
      <c r="D10" s="3" t="s">
        <v>35</v>
      </c>
      <c r="E10" s="3" t="s">
        <v>43</v>
      </c>
      <c r="F10" s="3" t="s">
        <v>37</v>
      </c>
      <c r="G10" s="3" t="s">
        <v>38</v>
      </c>
      <c r="H10" s="3" t="s">
        <v>39</v>
      </c>
      <c r="I10" s="3" t="s">
        <v>39</v>
      </c>
      <c r="J10" s="3" t="s">
        <v>40</v>
      </c>
      <c r="K10" s="3" t="s">
        <v>26</v>
      </c>
    </row>
    <row r="11">
      <c r="A11" s="3">
        <v>2.0</v>
      </c>
      <c r="B11" s="3" t="s">
        <v>30</v>
      </c>
      <c r="C11" s="3" t="s">
        <v>12</v>
      </c>
      <c r="D11" s="3" t="s">
        <v>44</v>
      </c>
      <c r="E11" s="3" t="s">
        <v>36</v>
      </c>
      <c r="F11" s="3" t="s">
        <v>37</v>
      </c>
      <c r="G11" s="3" t="s">
        <v>38</v>
      </c>
      <c r="H11" s="3" t="s">
        <v>39</v>
      </c>
      <c r="I11" s="3" t="s">
        <v>39</v>
      </c>
      <c r="J11" s="3" t="s">
        <v>40</v>
      </c>
      <c r="K11" s="3" t="s">
        <v>20</v>
      </c>
    </row>
    <row r="12">
      <c r="A12" s="3">
        <v>2.0</v>
      </c>
      <c r="B12" s="3" t="s">
        <v>30</v>
      </c>
      <c r="C12" s="3" t="s">
        <v>23</v>
      </c>
      <c r="D12" s="3" t="s">
        <v>45</v>
      </c>
      <c r="E12" s="3" t="s">
        <v>43</v>
      </c>
      <c r="F12" s="3" t="s">
        <v>37</v>
      </c>
      <c r="G12" s="3" t="s">
        <v>38</v>
      </c>
      <c r="H12" s="3" t="s">
        <v>39</v>
      </c>
      <c r="I12" s="3" t="s">
        <v>39</v>
      </c>
      <c r="J12" s="3" t="s">
        <v>40</v>
      </c>
      <c r="K12" s="3" t="s">
        <v>26</v>
      </c>
    </row>
    <row r="13">
      <c r="A13" s="3">
        <v>2.0</v>
      </c>
      <c r="B13" s="3" t="s">
        <v>30</v>
      </c>
      <c r="C13" s="3" t="s">
        <v>28</v>
      </c>
      <c r="D13" s="3" t="s">
        <v>44</v>
      </c>
      <c r="E13" s="3" t="s">
        <v>43</v>
      </c>
      <c r="F13" s="3" t="s">
        <v>37</v>
      </c>
      <c r="G13" s="3" t="s">
        <v>38</v>
      </c>
      <c r="H13" s="3" t="s">
        <v>39</v>
      </c>
      <c r="I13" s="3" t="s">
        <v>39</v>
      </c>
      <c r="J13" s="3" t="s">
        <v>40</v>
      </c>
      <c r="K13" s="3" t="s">
        <v>26</v>
      </c>
    </row>
    <row r="14">
      <c r="A14" s="3">
        <v>3.0</v>
      </c>
      <c r="B14" s="3" t="s">
        <v>11</v>
      </c>
      <c r="C14" s="3" t="s">
        <v>12</v>
      </c>
      <c r="D14" s="3" t="s">
        <v>46</v>
      </c>
      <c r="E14" s="3" t="s">
        <v>47</v>
      </c>
      <c r="F14" s="3" t="s">
        <v>48</v>
      </c>
      <c r="G14" s="3" t="s">
        <v>49</v>
      </c>
      <c r="H14" s="3" t="s">
        <v>50</v>
      </c>
      <c r="I14" s="3" t="s">
        <v>51</v>
      </c>
      <c r="J14" s="3" t="s">
        <v>52</v>
      </c>
      <c r="K14" s="3" t="s">
        <v>20</v>
      </c>
      <c r="M14" s="3" t="s">
        <v>53</v>
      </c>
    </row>
    <row r="15">
      <c r="A15" s="3">
        <v>3.0</v>
      </c>
      <c r="B15" s="3" t="s">
        <v>11</v>
      </c>
      <c r="C15" s="3" t="s">
        <v>23</v>
      </c>
      <c r="D15" s="3" t="s">
        <v>54</v>
      </c>
      <c r="E15" s="3" t="s">
        <v>55</v>
      </c>
      <c r="F15" s="3" t="s">
        <v>48</v>
      </c>
      <c r="G15" s="3" t="s">
        <v>49</v>
      </c>
      <c r="H15" s="3" t="s">
        <v>50</v>
      </c>
      <c r="I15" s="3" t="s">
        <v>51</v>
      </c>
      <c r="J15" s="3" t="s">
        <v>52</v>
      </c>
      <c r="K15" s="3" t="s">
        <v>26</v>
      </c>
      <c r="M15" s="3" t="s">
        <v>56</v>
      </c>
    </row>
    <row r="16">
      <c r="A16" s="3">
        <v>3.0</v>
      </c>
      <c r="B16" s="3" t="s">
        <v>11</v>
      </c>
      <c r="C16" s="3" t="s">
        <v>28</v>
      </c>
      <c r="D16" s="3" t="s">
        <v>46</v>
      </c>
      <c r="E16" s="3" t="s">
        <v>55</v>
      </c>
      <c r="F16" s="3" t="s">
        <v>48</v>
      </c>
      <c r="G16" s="3" t="s">
        <v>49</v>
      </c>
      <c r="H16" s="3" t="s">
        <v>50</v>
      </c>
      <c r="I16" s="3" t="s">
        <v>51</v>
      </c>
      <c r="J16" s="3" t="s">
        <v>52</v>
      </c>
      <c r="K16" s="3" t="s">
        <v>26</v>
      </c>
      <c r="M16" s="3" t="s">
        <v>57</v>
      </c>
    </row>
    <row r="17">
      <c r="A17" s="3">
        <v>3.0</v>
      </c>
      <c r="B17" s="3" t="s">
        <v>30</v>
      </c>
      <c r="C17" s="3" t="s">
        <v>12</v>
      </c>
      <c r="D17" s="3" t="s">
        <v>58</v>
      </c>
      <c r="E17" s="3" t="s">
        <v>47</v>
      </c>
      <c r="F17" s="3" t="s">
        <v>48</v>
      </c>
      <c r="G17" s="3" t="s">
        <v>49</v>
      </c>
      <c r="H17" s="3" t="s">
        <v>50</v>
      </c>
      <c r="I17" s="3" t="s">
        <v>51</v>
      </c>
      <c r="J17" s="3" t="s">
        <v>52</v>
      </c>
      <c r="K17" s="3" t="s">
        <v>20</v>
      </c>
    </row>
    <row r="18">
      <c r="A18" s="3">
        <v>3.0</v>
      </c>
      <c r="B18" s="3" t="s">
        <v>30</v>
      </c>
      <c r="C18" s="3" t="s">
        <v>23</v>
      </c>
      <c r="D18" s="3" t="s">
        <v>59</v>
      </c>
      <c r="E18" s="3" t="s">
        <v>55</v>
      </c>
      <c r="F18" s="3" t="s">
        <v>48</v>
      </c>
      <c r="G18" s="3" t="s">
        <v>49</v>
      </c>
      <c r="H18" s="3" t="s">
        <v>50</v>
      </c>
      <c r="I18" s="3" t="s">
        <v>51</v>
      </c>
      <c r="J18" s="3" t="s">
        <v>52</v>
      </c>
      <c r="K18" s="3" t="s">
        <v>26</v>
      </c>
    </row>
    <row r="19">
      <c r="A19" s="3">
        <v>3.0</v>
      </c>
      <c r="B19" s="3" t="s">
        <v>30</v>
      </c>
      <c r="C19" s="3" t="s">
        <v>28</v>
      </c>
      <c r="D19" s="3" t="s">
        <v>58</v>
      </c>
      <c r="E19" s="3" t="s">
        <v>55</v>
      </c>
      <c r="F19" s="3" t="s">
        <v>48</v>
      </c>
      <c r="G19" s="3" t="s">
        <v>49</v>
      </c>
      <c r="H19" s="3" t="s">
        <v>50</v>
      </c>
      <c r="I19" s="3" t="s">
        <v>51</v>
      </c>
      <c r="J19" s="3" t="s">
        <v>52</v>
      </c>
      <c r="K19" s="3" t="s">
        <v>26</v>
      </c>
    </row>
    <row r="20">
      <c r="A20" s="3">
        <v>4.0</v>
      </c>
      <c r="B20" s="3" t="s">
        <v>11</v>
      </c>
      <c r="C20" s="3" t="s">
        <v>12</v>
      </c>
      <c r="D20" s="3" t="s">
        <v>60</v>
      </c>
      <c r="E20" s="3" t="s">
        <v>61</v>
      </c>
      <c r="F20" s="3" t="s">
        <v>62</v>
      </c>
      <c r="G20" s="3" t="s">
        <v>63</v>
      </c>
      <c r="H20" s="3" t="s">
        <v>64</v>
      </c>
      <c r="I20" s="3" t="s">
        <v>65</v>
      </c>
      <c r="J20" s="3" t="s">
        <v>66</v>
      </c>
      <c r="K20" s="3" t="s">
        <v>20</v>
      </c>
    </row>
    <row r="21">
      <c r="A21" s="3">
        <v>4.0</v>
      </c>
      <c r="B21" s="3" t="s">
        <v>11</v>
      </c>
      <c r="C21" s="3" t="s">
        <v>23</v>
      </c>
      <c r="D21" s="3" t="s">
        <v>67</v>
      </c>
      <c r="E21" s="3" t="s">
        <v>68</v>
      </c>
      <c r="F21" s="3" t="s">
        <v>62</v>
      </c>
      <c r="G21" s="3" t="s">
        <v>63</v>
      </c>
      <c r="H21" s="3" t="s">
        <v>64</v>
      </c>
      <c r="I21" s="3" t="s">
        <v>65</v>
      </c>
      <c r="J21" s="3" t="s">
        <v>66</v>
      </c>
      <c r="K21" s="3" t="s">
        <v>26</v>
      </c>
    </row>
    <row r="22">
      <c r="A22" s="3">
        <v>4.0</v>
      </c>
      <c r="B22" s="3" t="s">
        <v>11</v>
      </c>
      <c r="C22" s="3" t="s">
        <v>28</v>
      </c>
      <c r="D22" s="3" t="s">
        <v>60</v>
      </c>
      <c r="E22" s="3" t="s">
        <v>68</v>
      </c>
      <c r="F22" s="3" t="s">
        <v>62</v>
      </c>
      <c r="G22" s="3" t="s">
        <v>63</v>
      </c>
      <c r="H22" s="3" t="s">
        <v>64</v>
      </c>
      <c r="I22" s="3" t="s">
        <v>65</v>
      </c>
      <c r="J22" s="3" t="s">
        <v>66</v>
      </c>
      <c r="K22" s="3" t="s">
        <v>26</v>
      </c>
    </row>
    <row r="23">
      <c r="A23" s="3">
        <v>4.0</v>
      </c>
      <c r="B23" s="3" t="s">
        <v>30</v>
      </c>
      <c r="C23" s="3" t="s">
        <v>12</v>
      </c>
      <c r="D23" s="3" t="s">
        <v>69</v>
      </c>
      <c r="E23" s="3" t="s">
        <v>61</v>
      </c>
      <c r="F23" s="3" t="s">
        <v>62</v>
      </c>
      <c r="G23" s="3" t="s">
        <v>63</v>
      </c>
      <c r="H23" s="3" t="s">
        <v>64</v>
      </c>
      <c r="I23" s="3" t="s">
        <v>65</v>
      </c>
      <c r="J23" s="3" t="s">
        <v>66</v>
      </c>
      <c r="K23" s="3" t="s">
        <v>20</v>
      </c>
    </row>
    <row r="24">
      <c r="A24" s="3">
        <v>4.0</v>
      </c>
      <c r="B24" s="3" t="s">
        <v>30</v>
      </c>
      <c r="C24" s="3" t="s">
        <v>23</v>
      </c>
      <c r="D24" s="3" t="s">
        <v>70</v>
      </c>
      <c r="E24" s="3" t="s">
        <v>68</v>
      </c>
      <c r="F24" s="3" t="s">
        <v>62</v>
      </c>
      <c r="G24" s="3" t="s">
        <v>63</v>
      </c>
      <c r="H24" s="3" t="s">
        <v>64</v>
      </c>
      <c r="I24" s="3" t="s">
        <v>65</v>
      </c>
      <c r="J24" s="3" t="s">
        <v>66</v>
      </c>
      <c r="K24" s="3" t="s">
        <v>26</v>
      </c>
    </row>
    <row r="25">
      <c r="A25" s="3">
        <v>4.0</v>
      </c>
      <c r="B25" s="3" t="s">
        <v>30</v>
      </c>
      <c r="C25" s="3" t="s">
        <v>28</v>
      </c>
      <c r="D25" s="3" t="s">
        <v>69</v>
      </c>
      <c r="E25" s="3" t="s">
        <v>68</v>
      </c>
      <c r="F25" s="3" t="s">
        <v>62</v>
      </c>
      <c r="G25" s="3" t="s">
        <v>63</v>
      </c>
      <c r="H25" s="3" t="s">
        <v>64</v>
      </c>
      <c r="I25" s="3" t="s">
        <v>65</v>
      </c>
      <c r="J25" s="3" t="s">
        <v>66</v>
      </c>
      <c r="K25" s="3" t="s">
        <v>26</v>
      </c>
    </row>
    <row r="26">
      <c r="A26" s="3">
        <v>5.0</v>
      </c>
      <c r="B26" s="3" t="s">
        <v>11</v>
      </c>
      <c r="C26" s="3" t="s">
        <v>12</v>
      </c>
      <c r="D26" s="3" t="s">
        <v>71</v>
      </c>
      <c r="E26" s="3" t="s">
        <v>72</v>
      </c>
      <c r="F26" s="3" t="s">
        <v>73</v>
      </c>
      <c r="G26" s="3" t="s">
        <v>63</v>
      </c>
      <c r="H26" s="3" t="s">
        <v>74</v>
      </c>
      <c r="I26" s="3" t="s">
        <v>75</v>
      </c>
      <c r="J26" s="3" t="s">
        <v>76</v>
      </c>
      <c r="K26" s="3" t="s">
        <v>20</v>
      </c>
    </row>
    <row r="27">
      <c r="A27" s="3">
        <v>5.0</v>
      </c>
      <c r="B27" s="3" t="s">
        <v>11</v>
      </c>
      <c r="C27" s="3" t="s">
        <v>23</v>
      </c>
      <c r="D27" s="3" t="s">
        <v>77</v>
      </c>
      <c r="E27" s="3" t="s">
        <v>78</v>
      </c>
      <c r="F27" s="3" t="s">
        <v>73</v>
      </c>
      <c r="G27" s="3" t="s">
        <v>63</v>
      </c>
      <c r="H27" s="3" t="s">
        <v>74</v>
      </c>
      <c r="I27" s="3" t="s">
        <v>75</v>
      </c>
      <c r="J27" s="3" t="s">
        <v>76</v>
      </c>
      <c r="K27" s="3" t="s">
        <v>26</v>
      </c>
    </row>
    <row r="28">
      <c r="A28" s="3">
        <v>5.0</v>
      </c>
      <c r="B28" s="3" t="s">
        <v>11</v>
      </c>
      <c r="C28" s="3" t="s">
        <v>28</v>
      </c>
      <c r="D28" s="3" t="s">
        <v>71</v>
      </c>
      <c r="E28" s="3" t="s">
        <v>78</v>
      </c>
      <c r="F28" s="3" t="s">
        <v>73</v>
      </c>
      <c r="G28" s="3" t="s">
        <v>63</v>
      </c>
      <c r="H28" s="3" t="s">
        <v>74</v>
      </c>
      <c r="I28" s="3" t="s">
        <v>75</v>
      </c>
      <c r="J28" s="3" t="s">
        <v>76</v>
      </c>
      <c r="K28" s="3" t="s">
        <v>26</v>
      </c>
    </row>
    <row r="29">
      <c r="A29" s="3">
        <v>5.0</v>
      </c>
      <c r="B29" s="3" t="s">
        <v>30</v>
      </c>
      <c r="C29" s="3" t="s">
        <v>12</v>
      </c>
      <c r="D29" s="3" t="s">
        <v>79</v>
      </c>
      <c r="E29" s="3" t="s">
        <v>72</v>
      </c>
      <c r="F29" s="3" t="s">
        <v>73</v>
      </c>
      <c r="G29" s="3" t="s">
        <v>63</v>
      </c>
      <c r="H29" s="3" t="s">
        <v>74</v>
      </c>
      <c r="I29" s="3" t="s">
        <v>75</v>
      </c>
      <c r="J29" s="3" t="s">
        <v>76</v>
      </c>
      <c r="K29" s="3" t="s">
        <v>20</v>
      </c>
    </row>
    <row r="30">
      <c r="A30" s="3">
        <v>5.0</v>
      </c>
      <c r="B30" s="3" t="s">
        <v>30</v>
      </c>
      <c r="C30" s="3" t="s">
        <v>23</v>
      </c>
      <c r="D30" s="3" t="s">
        <v>80</v>
      </c>
      <c r="E30" s="3" t="s">
        <v>78</v>
      </c>
      <c r="F30" s="3" t="s">
        <v>73</v>
      </c>
      <c r="G30" s="3" t="s">
        <v>63</v>
      </c>
      <c r="H30" s="3" t="s">
        <v>74</v>
      </c>
      <c r="I30" s="3" t="s">
        <v>75</v>
      </c>
      <c r="J30" s="3" t="s">
        <v>76</v>
      </c>
      <c r="K30" s="3" t="s">
        <v>26</v>
      </c>
    </row>
    <row r="31">
      <c r="A31" s="3">
        <v>5.0</v>
      </c>
      <c r="B31" s="3" t="s">
        <v>30</v>
      </c>
      <c r="C31" s="3" t="s">
        <v>28</v>
      </c>
      <c r="D31" s="3" t="s">
        <v>79</v>
      </c>
      <c r="E31" s="3" t="s">
        <v>78</v>
      </c>
      <c r="F31" s="3" t="s">
        <v>73</v>
      </c>
      <c r="G31" s="3" t="s">
        <v>63</v>
      </c>
      <c r="H31" s="3" t="s">
        <v>74</v>
      </c>
      <c r="I31" s="3" t="s">
        <v>75</v>
      </c>
      <c r="J31" s="3" t="s">
        <v>76</v>
      </c>
      <c r="K31" s="3" t="s">
        <v>26</v>
      </c>
    </row>
    <row r="32">
      <c r="A32" s="3">
        <v>6.0</v>
      </c>
      <c r="B32" s="3" t="s">
        <v>11</v>
      </c>
      <c r="C32" s="3" t="s">
        <v>12</v>
      </c>
      <c r="D32" s="3" t="s">
        <v>81</v>
      </c>
      <c r="E32" s="3" t="s">
        <v>82</v>
      </c>
      <c r="F32" s="3" t="s">
        <v>83</v>
      </c>
      <c r="G32" s="3" t="s">
        <v>84</v>
      </c>
      <c r="H32" s="3" t="s">
        <v>85</v>
      </c>
      <c r="I32" s="3" t="s">
        <v>86</v>
      </c>
      <c r="J32" s="3" t="s">
        <v>87</v>
      </c>
      <c r="K32" s="3" t="s">
        <v>20</v>
      </c>
    </row>
    <row r="33">
      <c r="A33" s="3">
        <v>6.0</v>
      </c>
      <c r="B33" s="3" t="s">
        <v>11</v>
      </c>
      <c r="C33" s="3" t="s">
        <v>23</v>
      </c>
      <c r="D33" s="3" t="s">
        <v>88</v>
      </c>
      <c r="E33" s="3" t="s">
        <v>89</v>
      </c>
      <c r="F33" s="3" t="s">
        <v>83</v>
      </c>
      <c r="G33" s="3" t="s">
        <v>84</v>
      </c>
      <c r="H33" s="3" t="s">
        <v>85</v>
      </c>
      <c r="I33" s="3" t="s">
        <v>86</v>
      </c>
      <c r="J33" s="3" t="s">
        <v>87</v>
      </c>
      <c r="K33" s="3" t="s">
        <v>26</v>
      </c>
      <c r="M33" s="6" t="s">
        <v>90</v>
      </c>
    </row>
    <row r="34">
      <c r="A34" s="3">
        <v>6.0</v>
      </c>
      <c r="B34" s="3" t="s">
        <v>11</v>
      </c>
      <c r="C34" s="3" t="s">
        <v>28</v>
      </c>
      <c r="D34" s="3" t="s">
        <v>81</v>
      </c>
      <c r="E34" s="3" t="s">
        <v>89</v>
      </c>
      <c r="F34" s="3" t="s">
        <v>83</v>
      </c>
      <c r="G34" s="3" t="s">
        <v>84</v>
      </c>
      <c r="H34" s="3" t="s">
        <v>85</v>
      </c>
      <c r="I34" s="3" t="s">
        <v>86</v>
      </c>
      <c r="J34" s="3" t="s">
        <v>87</v>
      </c>
      <c r="K34" s="3" t="s">
        <v>26</v>
      </c>
      <c r="M34" s="3" t="s">
        <v>91</v>
      </c>
      <c r="N34" s="3" t="s">
        <v>92</v>
      </c>
      <c r="O34" s="3" t="s">
        <v>11</v>
      </c>
      <c r="P34" s="3" t="s">
        <v>12</v>
      </c>
      <c r="Q34" s="3" t="s">
        <v>93</v>
      </c>
      <c r="R34" s="3" t="s">
        <v>94</v>
      </c>
      <c r="S34" s="3" t="s">
        <v>95</v>
      </c>
      <c r="T34" s="3" t="s">
        <v>96</v>
      </c>
      <c r="U34" s="3" t="s">
        <v>97</v>
      </c>
      <c r="V34" s="3" t="s">
        <v>98</v>
      </c>
    </row>
    <row r="35">
      <c r="A35" s="3">
        <v>6.0</v>
      </c>
      <c r="B35" s="3" t="s">
        <v>30</v>
      </c>
      <c r="C35" s="3" t="s">
        <v>12</v>
      </c>
      <c r="D35" s="3" t="s">
        <v>99</v>
      </c>
      <c r="E35" s="3" t="s">
        <v>82</v>
      </c>
      <c r="F35" s="3" t="s">
        <v>83</v>
      </c>
      <c r="G35" s="3" t="s">
        <v>84</v>
      </c>
      <c r="H35" s="3" t="s">
        <v>85</v>
      </c>
      <c r="I35" s="3" t="s">
        <v>86</v>
      </c>
      <c r="J35" s="3" t="s">
        <v>87</v>
      </c>
      <c r="K35" s="3" t="s">
        <v>20</v>
      </c>
      <c r="M35" s="3" t="s">
        <v>100</v>
      </c>
      <c r="N35" s="3" t="s">
        <v>101</v>
      </c>
      <c r="O35" s="3" t="s">
        <v>11</v>
      </c>
      <c r="P35" s="3" t="s">
        <v>23</v>
      </c>
      <c r="Q35" s="3" t="s">
        <v>102</v>
      </c>
      <c r="R35" s="3" t="s">
        <v>103</v>
      </c>
      <c r="S35" s="3" t="s">
        <v>95</v>
      </c>
      <c r="T35" s="3" t="s">
        <v>96</v>
      </c>
      <c r="U35" s="3" t="s">
        <v>97</v>
      </c>
      <c r="V35" s="3" t="s">
        <v>98</v>
      </c>
    </row>
    <row r="36">
      <c r="A36" s="3">
        <v>6.0</v>
      </c>
      <c r="B36" s="3" t="s">
        <v>30</v>
      </c>
      <c r="C36" s="3" t="s">
        <v>23</v>
      </c>
      <c r="D36" s="3" t="s">
        <v>104</v>
      </c>
      <c r="E36" s="3" t="s">
        <v>89</v>
      </c>
      <c r="F36" s="3" t="s">
        <v>83</v>
      </c>
      <c r="G36" s="3" t="s">
        <v>84</v>
      </c>
      <c r="H36" s="3" t="s">
        <v>85</v>
      </c>
      <c r="I36" s="3" t="s">
        <v>86</v>
      </c>
      <c r="J36" s="3" t="s">
        <v>87</v>
      </c>
      <c r="K36" s="3" t="s">
        <v>26</v>
      </c>
      <c r="N36" s="3" t="s">
        <v>105</v>
      </c>
      <c r="O36" s="3" t="s">
        <v>11</v>
      </c>
      <c r="P36" s="3" t="s">
        <v>28</v>
      </c>
      <c r="Q36" s="3" t="s">
        <v>93</v>
      </c>
      <c r="R36" s="3" t="s">
        <v>103</v>
      </c>
      <c r="S36" s="3" t="s">
        <v>95</v>
      </c>
      <c r="T36" s="3" t="s">
        <v>96</v>
      </c>
      <c r="U36" s="3" t="s">
        <v>97</v>
      </c>
      <c r="V36" s="3" t="s">
        <v>98</v>
      </c>
    </row>
    <row r="37">
      <c r="A37" s="3">
        <v>6.0</v>
      </c>
      <c r="B37" s="3" t="s">
        <v>30</v>
      </c>
      <c r="C37" s="3" t="s">
        <v>28</v>
      </c>
      <c r="D37" s="3" t="s">
        <v>99</v>
      </c>
      <c r="E37" s="3" t="s">
        <v>89</v>
      </c>
      <c r="F37" s="3" t="s">
        <v>83</v>
      </c>
      <c r="G37" s="3" t="s">
        <v>84</v>
      </c>
      <c r="H37" s="3" t="s">
        <v>85</v>
      </c>
      <c r="I37" s="3" t="s">
        <v>86</v>
      </c>
      <c r="J37" s="3" t="s">
        <v>87</v>
      </c>
      <c r="K37" s="3" t="s">
        <v>26</v>
      </c>
      <c r="N37" s="3" t="s">
        <v>106</v>
      </c>
      <c r="O37" s="3" t="s">
        <v>30</v>
      </c>
      <c r="P37" s="3" t="s">
        <v>12</v>
      </c>
      <c r="Q37" s="3" t="s">
        <v>107</v>
      </c>
      <c r="R37" s="3" t="s">
        <v>108</v>
      </c>
      <c r="S37" s="3" t="s">
        <v>95</v>
      </c>
      <c r="T37" s="3" t="s">
        <v>96</v>
      </c>
      <c r="U37" s="3" t="s">
        <v>97</v>
      </c>
      <c r="V37" s="3" t="s">
        <v>98</v>
      </c>
    </row>
    <row r="38">
      <c r="A38" s="3">
        <v>7.0</v>
      </c>
      <c r="B38" s="3" t="s">
        <v>11</v>
      </c>
      <c r="C38" s="3" t="s">
        <v>12</v>
      </c>
      <c r="D38" s="3" t="s">
        <v>109</v>
      </c>
      <c r="E38" s="3" t="s">
        <v>110</v>
      </c>
      <c r="F38" s="3" t="s">
        <v>111</v>
      </c>
      <c r="G38" s="3" t="s">
        <v>112</v>
      </c>
      <c r="H38" s="3" t="s">
        <v>113</v>
      </c>
      <c r="I38" s="3" t="s">
        <v>114</v>
      </c>
      <c r="J38" s="3" t="s">
        <v>115</v>
      </c>
      <c r="K38" s="3" t="s">
        <v>20</v>
      </c>
      <c r="O38" s="3" t="s">
        <v>30</v>
      </c>
      <c r="P38" s="3" t="s">
        <v>23</v>
      </c>
      <c r="Q38" s="3" t="s">
        <v>116</v>
      </c>
      <c r="R38" s="3" t="s">
        <v>103</v>
      </c>
      <c r="S38" s="3" t="s">
        <v>95</v>
      </c>
      <c r="T38" s="3" t="s">
        <v>96</v>
      </c>
      <c r="U38" s="3" t="s">
        <v>97</v>
      </c>
      <c r="V38" s="3" t="s">
        <v>98</v>
      </c>
    </row>
    <row r="39">
      <c r="A39" s="3">
        <v>7.0</v>
      </c>
      <c r="B39" s="3" t="s">
        <v>11</v>
      </c>
      <c r="C39" s="3" t="s">
        <v>23</v>
      </c>
      <c r="D39" s="3" t="s">
        <v>117</v>
      </c>
      <c r="E39" s="3" t="s">
        <v>118</v>
      </c>
      <c r="F39" s="3" t="s">
        <v>111</v>
      </c>
      <c r="G39" s="3" t="s">
        <v>112</v>
      </c>
      <c r="H39" s="3" t="s">
        <v>113</v>
      </c>
      <c r="I39" s="3" t="s">
        <v>114</v>
      </c>
      <c r="J39" s="3" t="s">
        <v>115</v>
      </c>
      <c r="K39" s="3" t="s">
        <v>26</v>
      </c>
      <c r="O39" s="3" t="s">
        <v>30</v>
      </c>
      <c r="P39" s="3" t="s">
        <v>28</v>
      </c>
      <c r="Q39" s="3" t="s">
        <v>107</v>
      </c>
      <c r="R39" s="3" t="s">
        <v>103</v>
      </c>
      <c r="S39" s="3" t="s">
        <v>95</v>
      </c>
      <c r="T39" s="3" t="s">
        <v>96</v>
      </c>
      <c r="U39" s="3" t="s">
        <v>97</v>
      </c>
      <c r="V39" s="3" t="s">
        <v>98</v>
      </c>
    </row>
    <row r="40">
      <c r="A40" s="3">
        <v>7.0</v>
      </c>
      <c r="B40" s="3" t="s">
        <v>11</v>
      </c>
      <c r="C40" s="3" t="s">
        <v>28</v>
      </c>
      <c r="D40" s="3" t="s">
        <v>109</v>
      </c>
      <c r="E40" s="3" t="s">
        <v>118</v>
      </c>
      <c r="F40" s="3" t="s">
        <v>111</v>
      </c>
      <c r="G40" s="3" t="s">
        <v>112</v>
      </c>
      <c r="H40" s="3" t="s">
        <v>113</v>
      </c>
      <c r="I40" s="3" t="s">
        <v>114</v>
      </c>
      <c r="J40" s="3" t="s">
        <v>115</v>
      </c>
      <c r="K40" s="3" t="s">
        <v>26</v>
      </c>
    </row>
    <row r="41">
      <c r="A41" s="3">
        <v>7.0</v>
      </c>
      <c r="B41" s="3" t="s">
        <v>30</v>
      </c>
      <c r="C41" s="3" t="s">
        <v>12</v>
      </c>
      <c r="D41" s="3" t="s">
        <v>119</v>
      </c>
      <c r="E41" s="3" t="s">
        <v>110</v>
      </c>
      <c r="F41" s="3" t="s">
        <v>111</v>
      </c>
      <c r="G41" s="3" t="s">
        <v>112</v>
      </c>
      <c r="H41" s="3" t="s">
        <v>113</v>
      </c>
      <c r="I41" s="3" t="s">
        <v>114</v>
      </c>
      <c r="J41" s="3" t="s">
        <v>115</v>
      </c>
      <c r="K41" s="3" t="s">
        <v>20</v>
      </c>
    </row>
    <row r="42">
      <c r="A42" s="3">
        <v>7.0</v>
      </c>
      <c r="B42" s="3" t="s">
        <v>30</v>
      </c>
      <c r="C42" s="3" t="s">
        <v>23</v>
      </c>
      <c r="D42" s="3" t="s">
        <v>120</v>
      </c>
      <c r="E42" s="3" t="s">
        <v>118</v>
      </c>
      <c r="F42" s="3" t="s">
        <v>111</v>
      </c>
      <c r="G42" s="3" t="s">
        <v>112</v>
      </c>
      <c r="H42" s="3" t="s">
        <v>113</v>
      </c>
      <c r="I42" s="3" t="s">
        <v>114</v>
      </c>
      <c r="J42" s="3" t="s">
        <v>115</v>
      </c>
      <c r="K42" s="3" t="s">
        <v>26</v>
      </c>
      <c r="M42" s="3" t="s">
        <v>121</v>
      </c>
      <c r="N42" s="3" t="s">
        <v>122</v>
      </c>
    </row>
    <row r="43">
      <c r="A43" s="3">
        <v>7.0</v>
      </c>
      <c r="B43" s="3" t="s">
        <v>30</v>
      </c>
      <c r="C43" s="3" t="s">
        <v>28</v>
      </c>
      <c r="D43" s="3" t="s">
        <v>119</v>
      </c>
      <c r="E43" s="3" t="s">
        <v>118</v>
      </c>
      <c r="F43" s="3" t="s">
        <v>111</v>
      </c>
      <c r="G43" s="3" t="s">
        <v>112</v>
      </c>
      <c r="H43" s="3" t="s">
        <v>113</v>
      </c>
      <c r="I43" s="3" t="s">
        <v>114</v>
      </c>
      <c r="J43" s="3" t="s">
        <v>115</v>
      </c>
      <c r="K43" s="3" t="s">
        <v>26</v>
      </c>
      <c r="M43" s="3" t="s">
        <v>123</v>
      </c>
      <c r="N43" s="3" t="s">
        <v>124</v>
      </c>
      <c r="O43" s="3" t="s">
        <v>11</v>
      </c>
      <c r="P43" s="3" t="s">
        <v>12</v>
      </c>
      <c r="Q43" s="3" t="s">
        <v>125</v>
      </c>
      <c r="R43" s="3" t="s">
        <v>126</v>
      </c>
      <c r="S43" s="3" t="s">
        <v>127</v>
      </c>
      <c r="T43" s="3" t="s">
        <v>128</v>
      </c>
      <c r="U43" s="3" t="s">
        <v>129</v>
      </c>
      <c r="V43" s="3" t="s">
        <v>98</v>
      </c>
    </row>
    <row r="44">
      <c r="A44" s="3">
        <v>8.0</v>
      </c>
      <c r="B44" s="3" t="s">
        <v>11</v>
      </c>
      <c r="C44" s="3" t="s">
        <v>12</v>
      </c>
      <c r="D44" s="3" t="s">
        <v>130</v>
      </c>
      <c r="E44" s="3" t="s">
        <v>131</v>
      </c>
      <c r="F44" s="3" t="s">
        <v>132</v>
      </c>
      <c r="G44" s="3" t="s">
        <v>133</v>
      </c>
      <c r="H44" s="3" t="s">
        <v>134</v>
      </c>
      <c r="I44" s="3" t="s">
        <v>135</v>
      </c>
      <c r="J44" s="3" t="s">
        <v>136</v>
      </c>
      <c r="K44" s="3" t="s">
        <v>20</v>
      </c>
      <c r="M44" s="3" t="s">
        <v>137</v>
      </c>
      <c r="N44" s="3" t="s">
        <v>138</v>
      </c>
      <c r="O44" s="3" t="s">
        <v>11</v>
      </c>
      <c r="P44" s="3" t="s">
        <v>23</v>
      </c>
      <c r="Q44" s="3" t="s">
        <v>125</v>
      </c>
      <c r="R44" s="3" t="s">
        <v>139</v>
      </c>
      <c r="S44" s="3" t="s">
        <v>127</v>
      </c>
      <c r="T44" s="3" t="s">
        <v>128</v>
      </c>
      <c r="U44" s="3" t="s">
        <v>129</v>
      </c>
      <c r="V44" s="3" t="s">
        <v>98</v>
      </c>
    </row>
    <row r="45">
      <c r="A45" s="3">
        <v>8.0</v>
      </c>
      <c r="B45" s="3" t="s">
        <v>11</v>
      </c>
      <c r="C45" s="3" t="s">
        <v>23</v>
      </c>
      <c r="D45" s="3" t="s">
        <v>140</v>
      </c>
      <c r="E45" s="3" t="s">
        <v>141</v>
      </c>
      <c r="F45" s="3" t="s">
        <v>132</v>
      </c>
      <c r="G45" s="3" t="s">
        <v>133</v>
      </c>
      <c r="H45" s="3" t="s">
        <v>134</v>
      </c>
      <c r="I45" s="3" t="s">
        <v>135</v>
      </c>
      <c r="J45" s="3" t="s">
        <v>136</v>
      </c>
      <c r="K45" s="3" t="s">
        <v>26</v>
      </c>
      <c r="M45" s="3" t="s">
        <v>142</v>
      </c>
      <c r="N45" s="3" t="s">
        <v>143</v>
      </c>
      <c r="O45" s="3" t="s">
        <v>11</v>
      </c>
      <c r="P45" s="3" t="s">
        <v>28</v>
      </c>
      <c r="Q45" s="3" t="s">
        <v>144</v>
      </c>
      <c r="R45" s="3" t="s">
        <v>139</v>
      </c>
      <c r="S45" s="3" t="s">
        <v>127</v>
      </c>
      <c r="T45" s="3" t="s">
        <v>128</v>
      </c>
      <c r="U45" s="3" t="s">
        <v>129</v>
      </c>
      <c r="V45" s="3" t="s">
        <v>98</v>
      </c>
    </row>
    <row r="46">
      <c r="A46" s="3">
        <v>8.0</v>
      </c>
      <c r="B46" s="3" t="s">
        <v>11</v>
      </c>
      <c r="C46" s="3" t="s">
        <v>28</v>
      </c>
      <c r="D46" s="3" t="s">
        <v>130</v>
      </c>
      <c r="E46" s="3" t="s">
        <v>141</v>
      </c>
      <c r="F46" s="3" t="s">
        <v>132</v>
      </c>
      <c r="G46" s="3" t="s">
        <v>133</v>
      </c>
      <c r="H46" s="3" t="s">
        <v>134</v>
      </c>
      <c r="I46" s="3" t="s">
        <v>135</v>
      </c>
      <c r="J46" s="3" t="s">
        <v>136</v>
      </c>
      <c r="K46" s="3" t="s">
        <v>26</v>
      </c>
      <c r="M46" s="3" t="s">
        <v>145</v>
      </c>
      <c r="N46" s="3" t="s">
        <v>146</v>
      </c>
      <c r="O46" s="3" t="s">
        <v>30</v>
      </c>
      <c r="P46" s="3" t="s">
        <v>12</v>
      </c>
      <c r="Q46" s="3" t="s">
        <v>147</v>
      </c>
      <c r="R46" s="3" t="s">
        <v>126</v>
      </c>
      <c r="S46" s="3" t="s">
        <v>127</v>
      </c>
      <c r="T46" s="3" t="s">
        <v>128</v>
      </c>
      <c r="U46" s="3" t="s">
        <v>129</v>
      </c>
      <c r="V46" s="3" t="s">
        <v>98</v>
      </c>
    </row>
    <row r="47">
      <c r="A47" s="3">
        <v>8.0</v>
      </c>
      <c r="B47" s="3" t="s">
        <v>30</v>
      </c>
      <c r="C47" s="3" t="s">
        <v>12</v>
      </c>
      <c r="D47" s="3" t="s">
        <v>148</v>
      </c>
      <c r="E47" s="3" t="s">
        <v>131</v>
      </c>
      <c r="F47" s="3" t="s">
        <v>132</v>
      </c>
      <c r="G47" s="3" t="s">
        <v>133</v>
      </c>
      <c r="H47" s="3" t="s">
        <v>134</v>
      </c>
      <c r="I47" s="3" t="s">
        <v>135</v>
      </c>
      <c r="J47" s="3" t="s">
        <v>136</v>
      </c>
      <c r="K47" s="3" t="s">
        <v>20</v>
      </c>
      <c r="M47" s="3" t="s">
        <v>149</v>
      </c>
      <c r="N47" s="3" t="s">
        <v>150</v>
      </c>
      <c r="O47" s="3" t="s">
        <v>30</v>
      </c>
      <c r="P47" s="3" t="s">
        <v>23</v>
      </c>
      <c r="Q47" s="3" t="s">
        <v>151</v>
      </c>
      <c r="R47" s="3" t="s">
        <v>139</v>
      </c>
      <c r="S47" s="3" t="s">
        <v>127</v>
      </c>
      <c r="T47" s="3" t="s">
        <v>128</v>
      </c>
      <c r="U47" s="3" t="s">
        <v>129</v>
      </c>
      <c r="V47" s="3" t="s">
        <v>98</v>
      </c>
    </row>
    <row r="48">
      <c r="A48" s="3">
        <v>8.0</v>
      </c>
      <c r="B48" s="3" t="s">
        <v>30</v>
      </c>
      <c r="C48" s="3" t="s">
        <v>23</v>
      </c>
      <c r="D48" s="3" t="s">
        <v>152</v>
      </c>
      <c r="E48" s="3" t="s">
        <v>141</v>
      </c>
      <c r="F48" s="3" t="s">
        <v>132</v>
      </c>
      <c r="G48" s="3" t="s">
        <v>133</v>
      </c>
      <c r="H48" s="3" t="s">
        <v>134</v>
      </c>
      <c r="I48" s="3" t="s">
        <v>135</v>
      </c>
      <c r="J48" s="3" t="s">
        <v>136</v>
      </c>
      <c r="K48" s="3" t="s">
        <v>26</v>
      </c>
      <c r="N48" s="3" t="s">
        <v>153</v>
      </c>
      <c r="O48" s="3" t="s">
        <v>30</v>
      </c>
      <c r="P48" s="3" t="s">
        <v>28</v>
      </c>
      <c r="Q48" s="3" t="s">
        <v>147</v>
      </c>
      <c r="R48" s="3" t="s">
        <v>139</v>
      </c>
      <c r="S48" s="3" t="s">
        <v>127</v>
      </c>
      <c r="T48" s="3" t="s">
        <v>128</v>
      </c>
      <c r="U48" s="3" t="s">
        <v>129</v>
      </c>
      <c r="V48" s="3" t="s">
        <v>98</v>
      </c>
    </row>
    <row r="49">
      <c r="A49" s="7">
        <v>8.0</v>
      </c>
      <c r="B49" s="3" t="s">
        <v>30</v>
      </c>
      <c r="C49" s="3" t="s">
        <v>28</v>
      </c>
      <c r="D49" s="3" t="s">
        <v>148</v>
      </c>
      <c r="E49" s="3" t="s">
        <v>141</v>
      </c>
      <c r="F49" s="3" t="s">
        <v>132</v>
      </c>
      <c r="G49" s="3" t="s">
        <v>133</v>
      </c>
      <c r="H49" s="3" t="s">
        <v>134</v>
      </c>
      <c r="I49" s="3" t="s">
        <v>135</v>
      </c>
      <c r="J49" s="3" t="s">
        <v>136</v>
      </c>
      <c r="K49" s="3" t="s">
        <v>26</v>
      </c>
    </row>
    <row r="50">
      <c r="A50" s="3">
        <v>9.0</v>
      </c>
      <c r="B50" s="3" t="s">
        <v>11</v>
      </c>
      <c r="C50" s="3" t="s">
        <v>12</v>
      </c>
      <c r="D50" s="3" t="s">
        <v>154</v>
      </c>
      <c r="E50" s="3" t="s">
        <v>155</v>
      </c>
      <c r="F50" s="3" t="s">
        <v>156</v>
      </c>
      <c r="G50" s="3" t="s">
        <v>157</v>
      </c>
      <c r="H50" s="3" t="s">
        <v>158</v>
      </c>
      <c r="I50" s="3" t="s">
        <v>159</v>
      </c>
      <c r="J50" s="3" t="s">
        <v>160</v>
      </c>
      <c r="K50" s="3" t="s">
        <v>20</v>
      </c>
    </row>
    <row r="51">
      <c r="A51" s="3">
        <v>9.0</v>
      </c>
      <c r="B51" s="3" t="s">
        <v>11</v>
      </c>
      <c r="C51" s="3" t="s">
        <v>23</v>
      </c>
      <c r="D51" s="3" t="s">
        <v>161</v>
      </c>
      <c r="E51" s="3" t="s">
        <v>162</v>
      </c>
      <c r="F51" s="3" t="s">
        <v>156</v>
      </c>
      <c r="G51" s="3" t="s">
        <v>157</v>
      </c>
      <c r="H51" s="3" t="s">
        <v>158</v>
      </c>
      <c r="I51" s="3" t="s">
        <v>159</v>
      </c>
      <c r="J51" s="3" t="s">
        <v>160</v>
      </c>
      <c r="K51" s="3" t="s">
        <v>26</v>
      </c>
    </row>
    <row r="52">
      <c r="A52" s="3">
        <v>9.0</v>
      </c>
      <c r="B52" s="3" t="s">
        <v>11</v>
      </c>
      <c r="C52" s="3" t="s">
        <v>28</v>
      </c>
      <c r="D52" s="3" t="s">
        <v>154</v>
      </c>
      <c r="E52" s="3" t="s">
        <v>162</v>
      </c>
      <c r="F52" s="3" t="s">
        <v>156</v>
      </c>
      <c r="G52" s="3" t="s">
        <v>157</v>
      </c>
      <c r="H52" s="3" t="s">
        <v>158</v>
      </c>
      <c r="I52" s="3" t="s">
        <v>159</v>
      </c>
      <c r="J52" s="3" t="s">
        <v>160</v>
      </c>
      <c r="K52" s="3" t="s">
        <v>26</v>
      </c>
      <c r="N52" s="3"/>
      <c r="O52" s="3" t="s">
        <v>11</v>
      </c>
      <c r="P52" s="3" t="s">
        <v>12</v>
      </c>
      <c r="Q52" s="3" t="s">
        <v>163</v>
      </c>
      <c r="R52" s="3" t="s">
        <v>164</v>
      </c>
      <c r="S52" s="3" t="s">
        <v>165</v>
      </c>
      <c r="T52" s="3" t="s">
        <v>166</v>
      </c>
      <c r="U52" s="3" t="s">
        <v>167</v>
      </c>
      <c r="V52" s="3" t="s">
        <v>98</v>
      </c>
    </row>
    <row r="53">
      <c r="A53" s="3">
        <v>9.0</v>
      </c>
      <c r="B53" s="3" t="s">
        <v>30</v>
      </c>
      <c r="C53" s="3" t="s">
        <v>12</v>
      </c>
      <c r="D53" s="3" t="s">
        <v>168</v>
      </c>
      <c r="E53" s="3" t="s">
        <v>155</v>
      </c>
      <c r="F53" s="3" t="s">
        <v>156</v>
      </c>
      <c r="G53" s="3" t="s">
        <v>157</v>
      </c>
      <c r="H53" s="3" t="s">
        <v>158</v>
      </c>
      <c r="I53" s="3" t="s">
        <v>159</v>
      </c>
      <c r="J53" s="3" t="s">
        <v>160</v>
      </c>
      <c r="K53" s="3" t="s">
        <v>20</v>
      </c>
      <c r="N53" s="3"/>
      <c r="O53" s="3" t="s">
        <v>11</v>
      </c>
      <c r="P53" s="3" t="s">
        <v>23</v>
      </c>
      <c r="Q53" s="3" t="s">
        <v>163</v>
      </c>
      <c r="R53" s="3" t="s">
        <v>169</v>
      </c>
      <c r="S53" s="3" t="s">
        <v>165</v>
      </c>
      <c r="T53" s="3" t="s">
        <v>166</v>
      </c>
      <c r="U53" s="3" t="s">
        <v>167</v>
      </c>
      <c r="V53" s="3" t="s">
        <v>98</v>
      </c>
    </row>
    <row r="54">
      <c r="A54" s="3">
        <v>9.0</v>
      </c>
      <c r="B54" s="3" t="s">
        <v>30</v>
      </c>
      <c r="C54" s="3" t="s">
        <v>23</v>
      </c>
      <c r="D54" s="3" t="s">
        <v>170</v>
      </c>
      <c r="E54" s="3" t="s">
        <v>162</v>
      </c>
      <c r="F54" s="3" t="s">
        <v>156</v>
      </c>
      <c r="G54" s="3" t="s">
        <v>157</v>
      </c>
      <c r="H54" s="3" t="s">
        <v>158</v>
      </c>
      <c r="I54" s="3" t="s">
        <v>159</v>
      </c>
      <c r="J54" s="3" t="s">
        <v>160</v>
      </c>
      <c r="K54" s="3" t="s">
        <v>26</v>
      </c>
      <c r="N54" s="3"/>
      <c r="O54" s="3" t="s">
        <v>11</v>
      </c>
      <c r="P54" s="3" t="s">
        <v>28</v>
      </c>
      <c r="Q54" s="3" t="s">
        <v>171</v>
      </c>
      <c r="R54" s="3" t="s">
        <v>169</v>
      </c>
      <c r="S54" s="3" t="s">
        <v>165</v>
      </c>
      <c r="T54" s="3" t="s">
        <v>166</v>
      </c>
      <c r="U54" s="3" t="s">
        <v>167</v>
      </c>
      <c r="V54" s="3" t="s">
        <v>98</v>
      </c>
    </row>
    <row r="55">
      <c r="A55" s="3">
        <v>9.0</v>
      </c>
      <c r="B55" s="3" t="s">
        <v>30</v>
      </c>
      <c r="C55" s="3" t="s">
        <v>28</v>
      </c>
      <c r="D55" s="3" t="s">
        <v>168</v>
      </c>
      <c r="E55" s="3" t="s">
        <v>162</v>
      </c>
      <c r="F55" s="3" t="s">
        <v>156</v>
      </c>
      <c r="G55" s="3" t="s">
        <v>157</v>
      </c>
      <c r="H55" s="3" t="s">
        <v>158</v>
      </c>
      <c r="I55" s="3" t="s">
        <v>159</v>
      </c>
      <c r="J55" s="3" t="s">
        <v>160</v>
      </c>
      <c r="K55" s="3" t="s">
        <v>26</v>
      </c>
      <c r="N55" s="3"/>
      <c r="O55" s="3" t="s">
        <v>30</v>
      </c>
      <c r="P55" s="3" t="s">
        <v>12</v>
      </c>
      <c r="Q55" s="3" t="s">
        <v>172</v>
      </c>
      <c r="R55" s="3" t="s">
        <v>164</v>
      </c>
      <c r="S55" s="3" t="s">
        <v>165</v>
      </c>
      <c r="T55" s="3" t="s">
        <v>166</v>
      </c>
      <c r="U55" s="3" t="s">
        <v>167</v>
      </c>
      <c r="V55" s="3" t="s">
        <v>98</v>
      </c>
    </row>
    <row r="56">
      <c r="A56" s="3">
        <v>10.0</v>
      </c>
      <c r="B56" s="3" t="s">
        <v>11</v>
      </c>
      <c r="C56" s="3" t="s">
        <v>12</v>
      </c>
      <c r="D56" s="3" t="s">
        <v>60</v>
      </c>
      <c r="E56" s="3" t="s">
        <v>173</v>
      </c>
      <c r="F56" s="3" t="s">
        <v>174</v>
      </c>
      <c r="G56" s="3" t="s">
        <v>175</v>
      </c>
      <c r="H56" s="3" t="s">
        <v>176</v>
      </c>
      <c r="I56" s="3" t="s">
        <v>177</v>
      </c>
      <c r="J56" s="3" t="s">
        <v>178</v>
      </c>
      <c r="K56" s="3" t="s">
        <v>20</v>
      </c>
      <c r="N56" s="3"/>
      <c r="O56" s="3" t="s">
        <v>30</v>
      </c>
      <c r="P56" s="3" t="s">
        <v>23</v>
      </c>
      <c r="Q56" s="3" t="s">
        <v>179</v>
      </c>
      <c r="R56" s="3" t="s">
        <v>169</v>
      </c>
      <c r="S56" s="3" t="s">
        <v>165</v>
      </c>
      <c r="T56" s="3" t="s">
        <v>166</v>
      </c>
      <c r="U56" s="3" t="s">
        <v>167</v>
      </c>
      <c r="V56" s="3" t="s">
        <v>98</v>
      </c>
    </row>
    <row r="57">
      <c r="A57" s="3">
        <v>10.0</v>
      </c>
      <c r="B57" s="3" t="s">
        <v>11</v>
      </c>
      <c r="C57" s="3" t="s">
        <v>23</v>
      </c>
      <c r="D57" s="3" t="s">
        <v>67</v>
      </c>
      <c r="E57" s="3" t="s">
        <v>180</v>
      </c>
      <c r="F57" s="3" t="s">
        <v>174</v>
      </c>
      <c r="G57" s="3" t="s">
        <v>175</v>
      </c>
      <c r="H57" s="3" t="s">
        <v>176</v>
      </c>
      <c r="I57" s="3" t="s">
        <v>177</v>
      </c>
      <c r="J57" s="3" t="s">
        <v>178</v>
      </c>
      <c r="K57" s="3" t="s">
        <v>26</v>
      </c>
      <c r="N57" s="3"/>
      <c r="O57" s="3" t="s">
        <v>30</v>
      </c>
      <c r="P57" s="3" t="s">
        <v>28</v>
      </c>
      <c r="Q57" s="3" t="s">
        <v>172</v>
      </c>
      <c r="R57" s="3" t="s">
        <v>169</v>
      </c>
      <c r="S57" s="3" t="s">
        <v>165</v>
      </c>
      <c r="T57" s="3" t="s">
        <v>166</v>
      </c>
      <c r="U57" s="3" t="s">
        <v>167</v>
      </c>
      <c r="V57" s="3" t="s">
        <v>98</v>
      </c>
    </row>
    <row r="58">
      <c r="A58" s="3">
        <v>10.0</v>
      </c>
      <c r="B58" s="3" t="s">
        <v>11</v>
      </c>
      <c r="C58" s="3" t="s">
        <v>28</v>
      </c>
      <c r="D58" s="3" t="s">
        <v>60</v>
      </c>
      <c r="E58" s="3" t="s">
        <v>180</v>
      </c>
      <c r="F58" s="3" t="s">
        <v>174</v>
      </c>
      <c r="G58" s="3" t="s">
        <v>175</v>
      </c>
      <c r="H58" s="3" t="s">
        <v>176</v>
      </c>
      <c r="I58" s="3" t="s">
        <v>177</v>
      </c>
      <c r="J58" s="3" t="s">
        <v>178</v>
      </c>
      <c r="K58" s="3" t="s">
        <v>26</v>
      </c>
    </row>
    <row r="59">
      <c r="A59" s="3">
        <v>10.0</v>
      </c>
      <c r="B59" s="3" t="s">
        <v>30</v>
      </c>
      <c r="C59" s="3" t="s">
        <v>12</v>
      </c>
      <c r="D59" s="3" t="s">
        <v>69</v>
      </c>
      <c r="E59" s="3" t="s">
        <v>173</v>
      </c>
      <c r="F59" s="3" t="s">
        <v>174</v>
      </c>
      <c r="G59" s="3" t="s">
        <v>175</v>
      </c>
      <c r="H59" s="3" t="s">
        <v>176</v>
      </c>
      <c r="I59" s="3" t="s">
        <v>177</v>
      </c>
      <c r="J59" s="3" t="s">
        <v>178</v>
      </c>
      <c r="K59" s="3" t="s">
        <v>20</v>
      </c>
    </row>
    <row r="60">
      <c r="A60" s="3">
        <v>10.0</v>
      </c>
      <c r="B60" s="3" t="s">
        <v>30</v>
      </c>
      <c r="C60" s="3" t="s">
        <v>23</v>
      </c>
      <c r="D60" s="3" t="s">
        <v>70</v>
      </c>
      <c r="E60" s="3" t="s">
        <v>180</v>
      </c>
      <c r="F60" s="3" t="s">
        <v>174</v>
      </c>
      <c r="G60" s="3" t="s">
        <v>175</v>
      </c>
      <c r="H60" s="3" t="s">
        <v>176</v>
      </c>
      <c r="I60" s="3" t="s">
        <v>177</v>
      </c>
      <c r="J60" s="3" t="s">
        <v>178</v>
      </c>
      <c r="K60" s="3" t="s">
        <v>26</v>
      </c>
    </row>
    <row r="61">
      <c r="A61" s="3">
        <v>10.0</v>
      </c>
      <c r="B61" s="3" t="s">
        <v>30</v>
      </c>
      <c r="C61" s="3" t="s">
        <v>28</v>
      </c>
      <c r="D61" s="3" t="s">
        <v>69</v>
      </c>
      <c r="E61" s="3" t="s">
        <v>180</v>
      </c>
      <c r="F61" s="3" t="s">
        <v>174</v>
      </c>
      <c r="G61" s="3" t="s">
        <v>175</v>
      </c>
      <c r="H61" s="3" t="s">
        <v>176</v>
      </c>
      <c r="I61" s="3" t="s">
        <v>177</v>
      </c>
      <c r="J61" s="3" t="s">
        <v>178</v>
      </c>
      <c r="K61" s="3" t="s">
        <v>26</v>
      </c>
      <c r="N61" s="3"/>
      <c r="O61" s="3" t="s">
        <v>11</v>
      </c>
      <c r="P61" s="3" t="s">
        <v>12</v>
      </c>
      <c r="Q61" s="3" t="s">
        <v>181</v>
      </c>
      <c r="R61" s="3" t="s">
        <v>182</v>
      </c>
      <c r="S61" s="3" t="s">
        <v>183</v>
      </c>
      <c r="T61" s="3" t="s">
        <v>184</v>
      </c>
      <c r="U61" s="3" t="s">
        <v>185</v>
      </c>
      <c r="V61" s="3" t="s">
        <v>98</v>
      </c>
    </row>
    <row r="62">
      <c r="A62" s="3">
        <v>11.0</v>
      </c>
      <c r="B62" s="3" t="s">
        <v>11</v>
      </c>
      <c r="C62" s="3" t="s">
        <v>12</v>
      </c>
      <c r="D62" s="3" t="s">
        <v>186</v>
      </c>
      <c r="E62" s="3" t="s">
        <v>187</v>
      </c>
      <c r="F62" s="3" t="s">
        <v>188</v>
      </c>
      <c r="G62" s="3" t="s">
        <v>189</v>
      </c>
      <c r="H62" s="3" t="s">
        <v>190</v>
      </c>
      <c r="I62" s="3" t="s">
        <v>190</v>
      </c>
      <c r="J62" s="3" t="s">
        <v>191</v>
      </c>
      <c r="K62" s="3" t="s">
        <v>20</v>
      </c>
      <c r="N62" s="3"/>
      <c r="O62" s="3" t="s">
        <v>11</v>
      </c>
      <c r="P62" s="3" t="s">
        <v>23</v>
      </c>
      <c r="Q62" s="3" t="s">
        <v>181</v>
      </c>
      <c r="R62" s="3" t="s">
        <v>192</v>
      </c>
      <c r="S62" s="3" t="s">
        <v>183</v>
      </c>
      <c r="T62" s="3" t="s">
        <v>184</v>
      </c>
      <c r="U62" s="3" t="s">
        <v>185</v>
      </c>
      <c r="V62" s="3" t="s">
        <v>98</v>
      </c>
    </row>
    <row r="63">
      <c r="A63" s="3">
        <v>11.0</v>
      </c>
      <c r="B63" s="3" t="s">
        <v>11</v>
      </c>
      <c r="C63" s="3" t="s">
        <v>23</v>
      </c>
      <c r="D63" s="3" t="s">
        <v>193</v>
      </c>
      <c r="E63" s="3" t="s">
        <v>194</v>
      </c>
      <c r="F63" s="3" t="s">
        <v>188</v>
      </c>
      <c r="G63" s="3" t="s">
        <v>189</v>
      </c>
      <c r="H63" s="3" t="s">
        <v>190</v>
      </c>
      <c r="I63" s="3" t="s">
        <v>190</v>
      </c>
      <c r="J63" s="3" t="s">
        <v>191</v>
      </c>
      <c r="K63" s="3" t="s">
        <v>26</v>
      </c>
      <c r="N63" s="3"/>
      <c r="O63" s="3" t="s">
        <v>11</v>
      </c>
      <c r="P63" s="3" t="s">
        <v>28</v>
      </c>
      <c r="Q63" s="3" t="s">
        <v>195</v>
      </c>
      <c r="R63" s="3" t="s">
        <v>192</v>
      </c>
      <c r="S63" s="3" t="s">
        <v>183</v>
      </c>
      <c r="T63" s="3" t="s">
        <v>184</v>
      </c>
      <c r="U63" s="3" t="s">
        <v>185</v>
      </c>
      <c r="V63" s="3" t="s">
        <v>98</v>
      </c>
    </row>
    <row r="64">
      <c r="A64" s="3">
        <v>11.0</v>
      </c>
      <c r="B64" s="3" t="s">
        <v>11</v>
      </c>
      <c r="C64" s="3" t="s">
        <v>28</v>
      </c>
      <c r="D64" s="3" t="s">
        <v>186</v>
      </c>
      <c r="E64" s="3" t="s">
        <v>194</v>
      </c>
      <c r="F64" s="3" t="s">
        <v>188</v>
      </c>
      <c r="G64" s="3" t="s">
        <v>189</v>
      </c>
      <c r="H64" s="3" t="s">
        <v>190</v>
      </c>
      <c r="I64" s="3" t="s">
        <v>190</v>
      </c>
      <c r="J64" s="3" t="s">
        <v>191</v>
      </c>
      <c r="K64" s="3" t="s">
        <v>26</v>
      </c>
      <c r="N64" s="3"/>
      <c r="O64" s="3" t="s">
        <v>30</v>
      </c>
      <c r="P64" s="3" t="s">
        <v>12</v>
      </c>
      <c r="Q64" s="3" t="s">
        <v>196</v>
      </c>
      <c r="R64" s="3" t="s">
        <v>182</v>
      </c>
      <c r="S64" s="3" t="s">
        <v>183</v>
      </c>
      <c r="T64" s="3" t="s">
        <v>184</v>
      </c>
      <c r="U64" s="3" t="s">
        <v>185</v>
      </c>
      <c r="V64" s="3" t="s">
        <v>98</v>
      </c>
    </row>
    <row r="65">
      <c r="A65" s="3">
        <v>11.0</v>
      </c>
      <c r="B65" s="3" t="s">
        <v>30</v>
      </c>
      <c r="C65" s="3" t="s">
        <v>12</v>
      </c>
      <c r="D65" s="3" t="s">
        <v>197</v>
      </c>
      <c r="E65" s="3" t="s">
        <v>187</v>
      </c>
      <c r="F65" s="3" t="s">
        <v>188</v>
      </c>
      <c r="G65" s="3" t="s">
        <v>189</v>
      </c>
      <c r="H65" s="3" t="s">
        <v>190</v>
      </c>
      <c r="I65" s="3" t="s">
        <v>190</v>
      </c>
      <c r="J65" s="3" t="s">
        <v>191</v>
      </c>
      <c r="K65" s="3" t="s">
        <v>20</v>
      </c>
      <c r="N65" s="3"/>
      <c r="O65" s="3" t="s">
        <v>30</v>
      </c>
      <c r="P65" s="3" t="s">
        <v>23</v>
      </c>
      <c r="Q65" s="3" t="s">
        <v>198</v>
      </c>
      <c r="R65" s="3" t="s">
        <v>192</v>
      </c>
      <c r="S65" s="3" t="s">
        <v>183</v>
      </c>
      <c r="T65" s="3" t="s">
        <v>184</v>
      </c>
      <c r="U65" s="3" t="s">
        <v>185</v>
      </c>
      <c r="V65" s="3" t="s">
        <v>98</v>
      </c>
    </row>
    <row r="66">
      <c r="A66" s="3">
        <v>11.0</v>
      </c>
      <c r="B66" s="3" t="s">
        <v>30</v>
      </c>
      <c r="C66" s="3" t="s">
        <v>23</v>
      </c>
      <c r="D66" s="3" t="s">
        <v>199</v>
      </c>
      <c r="E66" s="3" t="s">
        <v>194</v>
      </c>
      <c r="F66" s="3" t="s">
        <v>188</v>
      </c>
      <c r="G66" s="3" t="s">
        <v>189</v>
      </c>
      <c r="H66" s="3" t="s">
        <v>190</v>
      </c>
      <c r="I66" s="3" t="s">
        <v>190</v>
      </c>
      <c r="J66" s="3" t="s">
        <v>191</v>
      </c>
      <c r="K66" s="3" t="s">
        <v>26</v>
      </c>
      <c r="N66" s="3"/>
      <c r="O66" s="3" t="s">
        <v>30</v>
      </c>
      <c r="P66" s="3" t="s">
        <v>28</v>
      </c>
      <c r="Q66" s="3" t="s">
        <v>196</v>
      </c>
      <c r="R66" s="3" t="s">
        <v>192</v>
      </c>
      <c r="S66" s="3" t="s">
        <v>183</v>
      </c>
      <c r="T66" s="3" t="s">
        <v>184</v>
      </c>
      <c r="U66" s="3" t="s">
        <v>185</v>
      </c>
      <c r="V66" s="3" t="s">
        <v>98</v>
      </c>
    </row>
    <row r="67">
      <c r="A67" s="3">
        <v>11.0</v>
      </c>
      <c r="B67" s="3" t="s">
        <v>30</v>
      </c>
      <c r="C67" s="3" t="s">
        <v>28</v>
      </c>
      <c r="D67" s="3" t="s">
        <v>197</v>
      </c>
      <c r="E67" s="3" t="s">
        <v>194</v>
      </c>
      <c r="F67" s="3" t="s">
        <v>188</v>
      </c>
      <c r="G67" s="3" t="s">
        <v>189</v>
      </c>
      <c r="H67" s="3" t="s">
        <v>190</v>
      </c>
      <c r="I67" s="3" t="s">
        <v>190</v>
      </c>
      <c r="J67" s="3" t="s">
        <v>191</v>
      </c>
      <c r="K67" s="3" t="s">
        <v>26</v>
      </c>
      <c r="N67" s="3"/>
      <c r="O67" s="3" t="s">
        <v>11</v>
      </c>
      <c r="P67" s="3" t="s">
        <v>12</v>
      </c>
      <c r="Q67" s="3" t="s">
        <v>200</v>
      </c>
      <c r="R67" s="3" t="s">
        <v>201</v>
      </c>
      <c r="S67" s="3" t="s">
        <v>202</v>
      </c>
      <c r="T67" s="3" t="s">
        <v>203</v>
      </c>
      <c r="U67" s="3" t="s">
        <v>204</v>
      </c>
      <c r="V67" s="3" t="s">
        <v>98</v>
      </c>
    </row>
    <row r="68">
      <c r="A68" s="3">
        <v>12.0</v>
      </c>
      <c r="B68" s="3" t="s">
        <v>11</v>
      </c>
      <c r="C68" s="3" t="s">
        <v>12</v>
      </c>
      <c r="D68" s="3" t="s">
        <v>205</v>
      </c>
      <c r="E68" s="3" t="s">
        <v>206</v>
      </c>
      <c r="F68" s="3" t="s">
        <v>207</v>
      </c>
      <c r="G68" s="3" t="s">
        <v>208</v>
      </c>
      <c r="H68" s="3" t="s">
        <v>209</v>
      </c>
      <c r="I68" s="3" t="s">
        <v>210</v>
      </c>
      <c r="J68" s="3" t="s">
        <v>211</v>
      </c>
      <c r="K68" s="3" t="s">
        <v>20</v>
      </c>
      <c r="N68" s="3"/>
      <c r="O68" s="3" t="s">
        <v>11</v>
      </c>
      <c r="P68" s="3" t="s">
        <v>23</v>
      </c>
      <c r="Q68" s="3" t="s">
        <v>200</v>
      </c>
      <c r="R68" s="3" t="s">
        <v>212</v>
      </c>
      <c r="S68" s="3" t="s">
        <v>202</v>
      </c>
      <c r="T68" s="3" t="s">
        <v>203</v>
      </c>
      <c r="U68" s="3" t="s">
        <v>204</v>
      </c>
      <c r="V68" s="3" t="s">
        <v>98</v>
      </c>
    </row>
    <row r="69">
      <c r="A69" s="3">
        <v>12.0</v>
      </c>
      <c r="B69" s="3" t="s">
        <v>11</v>
      </c>
      <c r="C69" s="3" t="s">
        <v>23</v>
      </c>
      <c r="D69" s="3" t="s">
        <v>213</v>
      </c>
      <c r="E69" s="3" t="s">
        <v>214</v>
      </c>
      <c r="F69" s="3" t="s">
        <v>207</v>
      </c>
      <c r="G69" s="3" t="s">
        <v>208</v>
      </c>
      <c r="H69" s="3" t="s">
        <v>209</v>
      </c>
      <c r="I69" s="3" t="s">
        <v>210</v>
      </c>
      <c r="J69" s="3" t="s">
        <v>211</v>
      </c>
      <c r="K69" s="3" t="s">
        <v>26</v>
      </c>
      <c r="N69" s="3"/>
      <c r="O69" s="3" t="s">
        <v>11</v>
      </c>
      <c r="P69" s="3" t="s">
        <v>28</v>
      </c>
      <c r="Q69" s="3" t="s">
        <v>215</v>
      </c>
      <c r="R69" s="3" t="s">
        <v>212</v>
      </c>
      <c r="S69" s="3" t="s">
        <v>202</v>
      </c>
      <c r="T69" s="3" t="s">
        <v>203</v>
      </c>
      <c r="U69" s="3" t="s">
        <v>204</v>
      </c>
      <c r="V69" s="3" t="s">
        <v>98</v>
      </c>
    </row>
    <row r="70">
      <c r="A70" s="3">
        <v>12.0</v>
      </c>
      <c r="B70" s="3" t="s">
        <v>11</v>
      </c>
      <c r="C70" s="3" t="s">
        <v>28</v>
      </c>
      <c r="D70" s="3" t="s">
        <v>205</v>
      </c>
      <c r="E70" s="3" t="s">
        <v>214</v>
      </c>
      <c r="F70" s="3" t="s">
        <v>207</v>
      </c>
      <c r="G70" s="3" t="s">
        <v>208</v>
      </c>
      <c r="H70" s="3" t="s">
        <v>209</v>
      </c>
      <c r="I70" s="3" t="s">
        <v>210</v>
      </c>
      <c r="J70" s="3" t="s">
        <v>211</v>
      </c>
      <c r="K70" s="3" t="s">
        <v>26</v>
      </c>
      <c r="N70" s="3"/>
      <c r="O70" s="3" t="s">
        <v>30</v>
      </c>
      <c r="P70" s="3" t="s">
        <v>12</v>
      </c>
      <c r="Q70" s="3" t="s">
        <v>216</v>
      </c>
      <c r="R70" s="3" t="s">
        <v>201</v>
      </c>
      <c r="S70" s="3" t="s">
        <v>202</v>
      </c>
      <c r="T70" s="3" t="s">
        <v>203</v>
      </c>
      <c r="U70" s="3" t="s">
        <v>204</v>
      </c>
      <c r="V70" s="3" t="s">
        <v>98</v>
      </c>
    </row>
    <row r="71">
      <c r="A71" s="3">
        <v>12.0</v>
      </c>
      <c r="B71" s="3" t="s">
        <v>30</v>
      </c>
      <c r="C71" s="3" t="s">
        <v>12</v>
      </c>
      <c r="D71" s="3" t="s">
        <v>217</v>
      </c>
      <c r="E71" s="3" t="s">
        <v>206</v>
      </c>
      <c r="F71" s="3" t="s">
        <v>207</v>
      </c>
      <c r="G71" s="3" t="s">
        <v>208</v>
      </c>
      <c r="H71" s="3" t="s">
        <v>209</v>
      </c>
      <c r="I71" s="3" t="s">
        <v>210</v>
      </c>
      <c r="J71" s="3" t="s">
        <v>211</v>
      </c>
      <c r="K71" s="3" t="s">
        <v>20</v>
      </c>
      <c r="N71" s="3"/>
      <c r="O71" s="3" t="s">
        <v>30</v>
      </c>
      <c r="P71" s="3" t="s">
        <v>23</v>
      </c>
      <c r="Q71" s="3" t="s">
        <v>218</v>
      </c>
      <c r="R71" s="3" t="s">
        <v>212</v>
      </c>
      <c r="S71" s="3" t="s">
        <v>202</v>
      </c>
      <c r="T71" s="3" t="s">
        <v>203</v>
      </c>
      <c r="U71" s="3" t="s">
        <v>204</v>
      </c>
      <c r="V71" s="3" t="s">
        <v>98</v>
      </c>
    </row>
    <row r="72">
      <c r="A72" s="3">
        <v>12.0</v>
      </c>
      <c r="B72" s="3" t="s">
        <v>30</v>
      </c>
      <c r="C72" s="3" t="s">
        <v>23</v>
      </c>
      <c r="D72" s="3" t="s">
        <v>219</v>
      </c>
      <c r="E72" s="3" t="s">
        <v>214</v>
      </c>
      <c r="F72" s="3" t="s">
        <v>207</v>
      </c>
      <c r="G72" s="3" t="s">
        <v>208</v>
      </c>
      <c r="H72" s="3" t="s">
        <v>209</v>
      </c>
      <c r="I72" s="3" t="s">
        <v>210</v>
      </c>
      <c r="J72" s="3" t="s">
        <v>211</v>
      </c>
      <c r="K72" s="3" t="s">
        <v>26</v>
      </c>
      <c r="N72" s="3"/>
      <c r="O72" s="3" t="s">
        <v>30</v>
      </c>
      <c r="P72" s="3" t="s">
        <v>28</v>
      </c>
      <c r="Q72" s="3" t="s">
        <v>216</v>
      </c>
      <c r="R72" s="3" t="s">
        <v>212</v>
      </c>
      <c r="S72" s="3" t="s">
        <v>202</v>
      </c>
      <c r="T72" s="3" t="s">
        <v>203</v>
      </c>
      <c r="U72" s="3" t="s">
        <v>204</v>
      </c>
      <c r="V72" s="3" t="s">
        <v>98</v>
      </c>
    </row>
    <row r="73">
      <c r="A73" s="3">
        <v>12.0</v>
      </c>
      <c r="B73" s="3" t="s">
        <v>30</v>
      </c>
      <c r="C73" s="3" t="s">
        <v>28</v>
      </c>
      <c r="D73" s="3" t="s">
        <v>217</v>
      </c>
      <c r="E73" s="3" t="s">
        <v>214</v>
      </c>
      <c r="F73" s="3" t="s">
        <v>207</v>
      </c>
      <c r="G73" s="3" t="s">
        <v>208</v>
      </c>
      <c r="H73" s="3" t="s">
        <v>209</v>
      </c>
      <c r="I73" s="3" t="s">
        <v>210</v>
      </c>
      <c r="J73" s="3" t="s">
        <v>211</v>
      </c>
      <c r="K73" s="3" t="s">
        <v>26</v>
      </c>
    </row>
    <row r="74">
      <c r="A74" s="3">
        <v>13.0</v>
      </c>
      <c r="B74" s="3" t="s">
        <v>11</v>
      </c>
      <c r="C74" s="3" t="s">
        <v>12</v>
      </c>
      <c r="D74" s="3" t="s">
        <v>220</v>
      </c>
      <c r="E74" s="3" t="s">
        <v>221</v>
      </c>
      <c r="F74" s="3" t="s">
        <v>222</v>
      </c>
      <c r="G74" s="3" t="s">
        <v>223</v>
      </c>
      <c r="H74" s="3" t="s">
        <v>224</v>
      </c>
      <c r="I74" s="3" t="s">
        <v>225</v>
      </c>
      <c r="J74" s="3" t="s">
        <v>226</v>
      </c>
      <c r="K74" s="3" t="s">
        <v>20</v>
      </c>
    </row>
    <row r="75">
      <c r="A75" s="3">
        <v>13.0</v>
      </c>
      <c r="B75" s="3" t="s">
        <v>11</v>
      </c>
      <c r="C75" s="3" t="s">
        <v>23</v>
      </c>
      <c r="D75" s="3" t="s">
        <v>227</v>
      </c>
      <c r="E75" s="3" t="s">
        <v>228</v>
      </c>
      <c r="F75" s="3" t="s">
        <v>222</v>
      </c>
      <c r="G75" s="3" t="s">
        <v>223</v>
      </c>
      <c r="H75" s="3" t="s">
        <v>224</v>
      </c>
      <c r="I75" s="3" t="s">
        <v>225</v>
      </c>
      <c r="J75" s="3" t="s">
        <v>226</v>
      </c>
      <c r="K75" s="3" t="s">
        <v>26</v>
      </c>
    </row>
    <row r="76">
      <c r="A76" s="3">
        <v>13.0</v>
      </c>
      <c r="B76" s="3" t="s">
        <v>11</v>
      </c>
      <c r="C76" s="3" t="s">
        <v>28</v>
      </c>
      <c r="D76" s="3" t="s">
        <v>220</v>
      </c>
      <c r="E76" s="3" t="s">
        <v>228</v>
      </c>
      <c r="F76" s="3" t="s">
        <v>222</v>
      </c>
      <c r="G76" s="3" t="s">
        <v>223</v>
      </c>
      <c r="H76" s="3" t="s">
        <v>224</v>
      </c>
      <c r="I76" s="3" t="s">
        <v>225</v>
      </c>
      <c r="J76" s="3" t="s">
        <v>226</v>
      </c>
      <c r="K76" s="3" t="s">
        <v>26</v>
      </c>
    </row>
    <row r="77">
      <c r="A77" s="3">
        <v>13.0</v>
      </c>
      <c r="B77" s="3" t="s">
        <v>30</v>
      </c>
      <c r="C77" s="3" t="s">
        <v>12</v>
      </c>
      <c r="D77" s="3" t="s">
        <v>229</v>
      </c>
      <c r="E77" s="3" t="s">
        <v>221</v>
      </c>
      <c r="F77" s="3" t="s">
        <v>222</v>
      </c>
      <c r="G77" s="3" t="s">
        <v>223</v>
      </c>
      <c r="H77" s="3" t="s">
        <v>224</v>
      </c>
      <c r="I77" s="3" t="s">
        <v>225</v>
      </c>
      <c r="J77" s="3" t="s">
        <v>226</v>
      </c>
      <c r="K77" s="3" t="s">
        <v>20</v>
      </c>
    </row>
    <row r="78">
      <c r="A78" s="3">
        <v>13.0</v>
      </c>
      <c r="B78" s="3" t="s">
        <v>30</v>
      </c>
      <c r="C78" s="3" t="s">
        <v>23</v>
      </c>
      <c r="D78" s="3" t="s">
        <v>230</v>
      </c>
      <c r="E78" s="3" t="s">
        <v>228</v>
      </c>
      <c r="F78" s="3" t="s">
        <v>222</v>
      </c>
      <c r="G78" s="3" t="s">
        <v>223</v>
      </c>
      <c r="H78" s="3" t="s">
        <v>224</v>
      </c>
      <c r="I78" s="3" t="s">
        <v>225</v>
      </c>
      <c r="J78" s="3" t="s">
        <v>226</v>
      </c>
      <c r="K78" s="3" t="s">
        <v>26</v>
      </c>
    </row>
    <row r="79">
      <c r="A79" s="3">
        <v>13.0</v>
      </c>
      <c r="B79" s="3" t="s">
        <v>30</v>
      </c>
      <c r="C79" s="3" t="s">
        <v>28</v>
      </c>
      <c r="D79" s="3" t="s">
        <v>229</v>
      </c>
      <c r="E79" s="3" t="s">
        <v>228</v>
      </c>
      <c r="F79" s="3" t="s">
        <v>222</v>
      </c>
      <c r="G79" s="3" t="s">
        <v>223</v>
      </c>
      <c r="H79" s="3" t="s">
        <v>224</v>
      </c>
      <c r="I79" s="3" t="s">
        <v>225</v>
      </c>
      <c r="J79" s="3" t="s">
        <v>226</v>
      </c>
      <c r="K79" s="3" t="s">
        <v>26</v>
      </c>
    </row>
    <row r="80">
      <c r="A80" s="3">
        <v>14.0</v>
      </c>
      <c r="B80" s="3" t="s">
        <v>11</v>
      </c>
      <c r="C80" s="3" t="s">
        <v>12</v>
      </c>
      <c r="D80" s="3" t="s">
        <v>186</v>
      </c>
      <c r="E80" s="3" t="s">
        <v>231</v>
      </c>
      <c r="F80" s="3" t="s">
        <v>232</v>
      </c>
      <c r="G80" s="3" t="s">
        <v>233</v>
      </c>
      <c r="H80" s="3" t="s">
        <v>188</v>
      </c>
      <c r="I80" s="3" t="s">
        <v>63</v>
      </c>
      <c r="J80" s="3" t="s">
        <v>66</v>
      </c>
      <c r="K80" s="3" t="s">
        <v>20</v>
      </c>
    </row>
    <row r="81">
      <c r="A81" s="3">
        <v>14.0</v>
      </c>
      <c r="B81" s="3" t="s">
        <v>11</v>
      </c>
      <c r="C81" s="3" t="s">
        <v>23</v>
      </c>
      <c r="D81" s="3" t="s">
        <v>193</v>
      </c>
      <c r="E81" s="3" t="s">
        <v>234</v>
      </c>
      <c r="F81" s="3" t="s">
        <v>232</v>
      </c>
      <c r="G81" s="3" t="s">
        <v>233</v>
      </c>
      <c r="H81" s="3" t="s">
        <v>188</v>
      </c>
      <c r="I81" s="3" t="s">
        <v>63</v>
      </c>
      <c r="J81" s="3" t="s">
        <v>66</v>
      </c>
      <c r="K81" s="3" t="s">
        <v>26</v>
      </c>
    </row>
    <row r="82">
      <c r="A82" s="3">
        <v>14.0</v>
      </c>
      <c r="B82" s="3" t="s">
        <v>11</v>
      </c>
      <c r="C82" s="3" t="s">
        <v>28</v>
      </c>
      <c r="D82" s="3" t="s">
        <v>186</v>
      </c>
      <c r="E82" s="3" t="s">
        <v>234</v>
      </c>
      <c r="F82" s="3" t="s">
        <v>232</v>
      </c>
      <c r="G82" s="3" t="s">
        <v>233</v>
      </c>
      <c r="H82" s="3" t="s">
        <v>188</v>
      </c>
      <c r="I82" s="3" t="s">
        <v>63</v>
      </c>
      <c r="J82" s="3" t="s">
        <v>66</v>
      </c>
      <c r="K82" s="3" t="s">
        <v>26</v>
      </c>
    </row>
    <row r="83">
      <c r="A83" s="3">
        <v>14.0</v>
      </c>
      <c r="B83" s="3" t="s">
        <v>30</v>
      </c>
      <c r="C83" s="3" t="s">
        <v>12</v>
      </c>
      <c r="D83" s="3" t="s">
        <v>197</v>
      </c>
      <c r="E83" s="3" t="s">
        <v>231</v>
      </c>
      <c r="F83" s="3" t="s">
        <v>232</v>
      </c>
      <c r="G83" s="3" t="s">
        <v>233</v>
      </c>
      <c r="H83" s="3" t="s">
        <v>188</v>
      </c>
      <c r="I83" s="3" t="s">
        <v>63</v>
      </c>
      <c r="J83" s="3" t="s">
        <v>66</v>
      </c>
      <c r="K83" s="3" t="s">
        <v>20</v>
      </c>
    </row>
    <row r="84">
      <c r="A84" s="3">
        <v>14.0</v>
      </c>
      <c r="B84" s="3" t="s">
        <v>30</v>
      </c>
      <c r="C84" s="3" t="s">
        <v>23</v>
      </c>
      <c r="D84" s="3" t="s">
        <v>199</v>
      </c>
      <c r="E84" s="3" t="s">
        <v>234</v>
      </c>
      <c r="F84" s="3" t="s">
        <v>232</v>
      </c>
      <c r="G84" s="3" t="s">
        <v>233</v>
      </c>
      <c r="H84" s="3" t="s">
        <v>188</v>
      </c>
      <c r="I84" s="3" t="s">
        <v>63</v>
      </c>
      <c r="J84" s="3" t="s">
        <v>66</v>
      </c>
      <c r="K84" s="3" t="s">
        <v>26</v>
      </c>
    </row>
    <row r="85">
      <c r="A85" s="3">
        <v>14.0</v>
      </c>
      <c r="B85" s="3" t="s">
        <v>30</v>
      </c>
      <c r="C85" s="3" t="s">
        <v>28</v>
      </c>
      <c r="D85" s="3" t="s">
        <v>197</v>
      </c>
      <c r="E85" s="3" t="s">
        <v>234</v>
      </c>
      <c r="F85" s="3" t="s">
        <v>232</v>
      </c>
      <c r="G85" s="3" t="s">
        <v>233</v>
      </c>
      <c r="H85" s="3" t="s">
        <v>188</v>
      </c>
      <c r="I85" s="3" t="s">
        <v>63</v>
      </c>
      <c r="J85" s="3" t="s">
        <v>66</v>
      </c>
      <c r="K85" s="3" t="s">
        <v>26</v>
      </c>
    </row>
    <row r="86">
      <c r="A86" s="3">
        <v>15.0</v>
      </c>
      <c r="B86" s="3" t="s">
        <v>11</v>
      </c>
      <c r="C86" s="3" t="s">
        <v>12</v>
      </c>
      <c r="D86" s="3" t="s">
        <v>235</v>
      </c>
      <c r="E86" s="3" t="s">
        <v>126</v>
      </c>
      <c r="F86" s="3" t="s">
        <v>236</v>
      </c>
      <c r="G86" s="3" t="s">
        <v>237</v>
      </c>
      <c r="H86" s="3" t="s">
        <v>238</v>
      </c>
      <c r="I86" s="3" t="s">
        <v>239</v>
      </c>
      <c r="J86" s="3" t="s">
        <v>240</v>
      </c>
      <c r="K86" s="3" t="s">
        <v>20</v>
      </c>
    </row>
    <row r="87">
      <c r="A87" s="3">
        <v>15.0</v>
      </c>
      <c r="B87" s="3" t="s">
        <v>11</v>
      </c>
      <c r="C87" s="3" t="s">
        <v>23</v>
      </c>
      <c r="D87" s="3" t="s">
        <v>241</v>
      </c>
      <c r="E87" s="3" t="s">
        <v>139</v>
      </c>
      <c r="F87" s="3" t="s">
        <v>236</v>
      </c>
      <c r="G87" s="3" t="s">
        <v>237</v>
      </c>
      <c r="H87" s="3" t="s">
        <v>238</v>
      </c>
      <c r="I87" s="3" t="s">
        <v>239</v>
      </c>
      <c r="J87" s="3" t="s">
        <v>240</v>
      </c>
      <c r="K87" s="3" t="s">
        <v>26</v>
      </c>
    </row>
    <row r="88">
      <c r="A88" s="3">
        <v>15.0</v>
      </c>
      <c r="B88" s="3" t="s">
        <v>11</v>
      </c>
      <c r="C88" s="3" t="s">
        <v>28</v>
      </c>
      <c r="D88" s="3" t="s">
        <v>235</v>
      </c>
      <c r="E88" s="3" t="s">
        <v>139</v>
      </c>
      <c r="F88" s="3" t="s">
        <v>236</v>
      </c>
      <c r="G88" s="3" t="s">
        <v>237</v>
      </c>
      <c r="H88" s="3" t="s">
        <v>238</v>
      </c>
      <c r="I88" s="3" t="s">
        <v>239</v>
      </c>
      <c r="J88" s="3" t="s">
        <v>240</v>
      </c>
      <c r="K88" s="3" t="s">
        <v>26</v>
      </c>
    </row>
    <row r="89">
      <c r="A89" s="3">
        <v>15.0</v>
      </c>
      <c r="B89" s="3" t="s">
        <v>30</v>
      </c>
      <c r="C89" s="3" t="s">
        <v>12</v>
      </c>
      <c r="D89" s="3" t="s">
        <v>242</v>
      </c>
      <c r="E89" s="3" t="s">
        <v>126</v>
      </c>
      <c r="F89" s="3" t="s">
        <v>236</v>
      </c>
      <c r="G89" s="3" t="s">
        <v>237</v>
      </c>
      <c r="H89" s="3" t="s">
        <v>238</v>
      </c>
      <c r="I89" s="3" t="s">
        <v>239</v>
      </c>
      <c r="J89" s="3" t="s">
        <v>240</v>
      </c>
      <c r="K89" s="3" t="s">
        <v>20</v>
      </c>
    </row>
    <row r="90">
      <c r="A90" s="3">
        <v>15.0</v>
      </c>
      <c r="B90" s="3" t="s">
        <v>30</v>
      </c>
      <c r="C90" s="3" t="s">
        <v>23</v>
      </c>
      <c r="D90" s="3" t="s">
        <v>243</v>
      </c>
      <c r="E90" s="3" t="s">
        <v>139</v>
      </c>
      <c r="F90" s="3" t="s">
        <v>236</v>
      </c>
      <c r="G90" s="3" t="s">
        <v>237</v>
      </c>
      <c r="H90" s="3" t="s">
        <v>238</v>
      </c>
      <c r="I90" s="3" t="s">
        <v>239</v>
      </c>
      <c r="J90" s="3" t="s">
        <v>240</v>
      </c>
      <c r="K90" s="3" t="s">
        <v>26</v>
      </c>
    </row>
    <row r="91">
      <c r="A91" s="3">
        <v>15.0</v>
      </c>
      <c r="B91" s="3" t="s">
        <v>30</v>
      </c>
      <c r="C91" s="3" t="s">
        <v>28</v>
      </c>
      <c r="D91" s="3" t="s">
        <v>242</v>
      </c>
      <c r="E91" s="3" t="s">
        <v>139</v>
      </c>
      <c r="F91" s="3" t="s">
        <v>236</v>
      </c>
      <c r="G91" s="3" t="s">
        <v>237</v>
      </c>
      <c r="H91" s="3" t="s">
        <v>238</v>
      </c>
      <c r="I91" s="3" t="s">
        <v>239</v>
      </c>
      <c r="J91" s="3" t="s">
        <v>240</v>
      </c>
      <c r="K91" s="3" t="s">
        <v>26</v>
      </c>
    </row>
    <row r="92">
      <c r="A92" s="3">
        <v>16.0</v>
      </c>
      <c r="B92" s="3" t="s">
        <v>11</v>
      </c>
      <c r="C92" s="3" t="s">
        <v>12</v>
      </c>
      <c r="D92" s="3" t="s">
        <v>244</v>
      </c>
      <c r="E92" s="3" t="s">
        <v>245</v>
      </c>
      <c r="F92" s="3" t="s">
        <v>246</v>
      </c>
      <c r="G92" s="3" t="s">
        <v>247</v>
      </c>
      <c r="H92" s="3" t="s">
        <v>248</v>
      </c>
      <c r="I92" s="3" t="s">
        <v>249</v>
      </c>
      <c r="J92" s="3" t="s">
        <v>250</v>
      </c>
      <c r="K92" s="3" t="s">
        <v>20</v>
      </c>
    </row>
    <row r="93">
      <c r="A93" s="3">
        <v>16.0</v>
      </c>
      <c r="B93" s="3" t="s">
        <v>11</v>
      </c>
      <c r="C93" s="3" t="s">
        <v>23</v>
      </c>
      <c r="D93" s="3" t="s">
        <v>251</v>
      </c>
      <c r="E93" s="3" t="s">
        <v>252</v>
      </c>
      <c r="F93" s="3" t="s">
        <v>246</v>
      </c>
      <c r="G93" s="3" t="s">
        <v>247</v>
      </c>
      <c r="H93" s="3" t="s">
        <v>248</v>
      </c>
      <c r="I93" s="3" t="s">
        <v>249</v>
      </c>
      <c r="J93" s="3" t="s">
        <v>250</v>
      </c>
      <c r="K93" s="3" t="s">
        <v>26</v>
      </c>
    </row>
    <row r="94">
      <c r="A94" s="3">
        <v>16.0</v>
      </c>
      <c r="B94" s="3" t="s">
        <v>11</v>
      </c>
      <c r="C94" s="3" t="s">
        <v>28</v>
      </c>
      <c r="D94" s="3" t="s">
        <v>244</v>
      </c>
      <c r="E94" s="3" t="s">
        <v>252</v>
      </c>
      <c r="F94" s="3" t="s">
        <v>246</v>
      </c>
      <c r="G94" s="3" t="s">
        <v>247</v>
      </c>
      <c r="H94" s="3" t="s">
        <v>248</v>
      </c>
      <c r="I94" s="3" t="s">
        <v>249</v>
      </c>
      <c r="J94" s="3" t="s">
        <v>250</v>
      </c>
      <c r="K94" s="3" t="s">
        <v>26</v>
      </c>
    </row>
    <row r="95">
      <c r="A95" s="3">
        <v>16.0</v>
      </c>
      <c r="B95" s="3" t="s">
        <v>30</v>
      </c>
      <c r="C95" s="3" t="s">
        <v>12</v>
      </c>
      <c r="D95" s="3" t="s">
        <v>253</v>
      </c>
      <c r="E95" s="3" t="s">
        <v>245</v>
      </c>
      <c r="F95" s="3" t="s">
        <v>246</v>
      </c>
      <c r="G95" s="3" t="s">
        <v>247</v>
      </c>
      <c r="H95" s="3" t="s">
        <v>248</v>
      </c>
      <c r="I95" s="3" t="s">
        <v>249</v>
      </c>
      <c r="J95" s="3" t="s">
        <v>250</v>
      </c>
      <c r="K95" s="3" t="s">
        <v>20</v>
      </c>
    </row>
    <row r="96">
      <c r="A96" s="3">
        <v>16.0</v>
      </c>
      <c r="B96" s="3" t="s">
        <v>30</v>
      </c>
      <c r="C96" s="3" t="s">
        <v>23</v>
      </c>
      <c r="D96" s="3" t="s">
        <v>254</v>
      </c>
      <c r="E96" s="3" t="s">
        <v>252</v>
      </c>
      <c r="F96" s="3" t="s">
        <v>246</v>
      </c>
      <c r="G96" s="3" t="s">
        <v>247</v>
      </c>
      <c r="H96" s="3" t="s">
        <v>248</v>
      </c>
      <c r="I96" s="3" t="s">
        <v>249</v>
      </c>
      <c r="J96" s="3" t="s">
        <v>250</v>
      </c>
      <c r="K96" s="3" t="s">
        <v>26</v>
      </c>
    </row>
    <row r="97">
      <c r="A97" s="3">
        <v>16.0</v>
      </c>
      <c r="B97" s="3" t="s">
        <v>30</v>
      </c>
      <c r="C97" s="3" t="s">
        <v>28</v>
      </c>
      <c r="D97" s="3" t="s">
        <v>253</v>
      </c>
      <c r="E97" s="3" t="s">
        <v>252</v>
      </c>
      <c r="F97" s="3" t="s">
        <v>246</v>
      </c>
      <c r="G97" s="3" t="s">
        <v>247</v>
      </c>
      <c r="H97" s="3" t="s">
        <v>248</v>
      </c>
      <c r="I97" s="3" t="s">
        <v>249</v>
      </c>
      <c r="J97" s="3" t="s">
        <v>250</v>
      </c>
      <c r="K97" s="3" t="s">
        <v>26</v>
      </c>
    </row>
    <row r="98">
      <c r="A98" s="3">
        <v>17.0</v>
      </c>
      <c r="B98" s="3" t="s">
        <v>11</v>
      </c>
      <c r="C98" s="3" t="s">
        <v>12</v>
      </c>
      <c r="D98" s="3" t="s">
        <v>255</v>
      </c>
      <c r="E98" s="3" t="s">
        <v>256</v>
      </c>
      <c r="F98" s="3" t="s">
        <v>257</v>
      </c>
      <c r="G98" s="3" t="s">
        <v>258</v>
      </c>
      <c r="H98" s="3" t="s">
        <v>259</v>
      </c>
      <c r="I98" s="3" t="s">
        <v>49</v>
      </c>
      <c r="J98" s="3" t="s">
        <v>260</v>
      </c>
      <c r="K98" s="3" t="s">
        <v>20</v>
      </c>
    </row>
    <row r="99">
      <c r="A99" s="3">
        <v>17.0</v>
      </c>
      <c r="B99" s="3" t="s">
        <v>11</v>
      </c>
      <c r="C99" s="3" t="s">
        <v>23</v>
      </c>
      <c r="D99" s="3" t="s">
        <v>261</v>
      </c>
      <c r="E99" s="3" t="s">
        <v>262</v>
      </c>
      <c r="F99" s="3" t="s">
        <v>257</v>
      </c>
      <c r="G99" s="3" t="s">
        <v>258</v>
      </c>
      <c r="H99" s="3" t="s">
        <v>259</v>
      </c>
      <c r="I99" s="3" t="s">
        <v>49</v>
      </c>
      <c r="J99" s="3" t="s">
        <v>260</v>
      </c>
      <c r="K99" s="3" t="s">
        <v>26</v>
      </c>
    </row>
    <row r="100">
      <c r="A100" s="3">
        <v>17.0</v>
      </c>
      <c r="B100" s="3" t="s">
        <v>11</v>
      </c>
      <c r="C100" s="3" t="s">
        <v>28</v>
      </c>
      <c r="D100" s="3" t="s">
        <v>255</v>
      </c>
      <c r="E100" s="3" t="s">
        <v>262</v>
      </c>
      <c r="F100" s="3" t="s">
        <v>257</v>
      </c>
      <c r="G100" s="3" t="s">
        <v>258</v>
      </c>
      <c r="H100" s="3" t="s">
        <v>259</v>
      </c>
      <c r="I100" s="3" t="s">
        <v>49</v>
      </c>
      <c r="J100" s="3" t="s">
        <v>260</v>
      </c>
      <c r="K100" s="3" t="s">
        <v>26</v>
      </c>
    </row>
    <row r="101">
      <c r="A101" s="3">
        <v>17.0</v>
      </c>
      <c r="B101" s="3" t="s">
        <v>30</v>
      </c>
      <c r="C101" s="3" t="s">
        <v>12</v>
      </c>
      <c r="D101" s="3" t="s">
        <v>263</v>
      </c>
      <c r="E101" s="3" t="s">
        <v>256</v>
      </c>
      <c r="F101" s="3" t="s">
        <v>257</v>
      </c>
      <c r="G101" s="3" t="s">
        <v>258</v>
      </c>
      <c r="H101" s="3" t="s">
        <v>259</v>
      </c>
      <c r="I101" s="3" t="s">
        <v>49</v>
      </c>
      <c r="J101" s="3" t="s">
        <v>260</v>
      </c>
      <c r="K101" s="3" t="s">
        <v>20</v>
      </c>
    </row>
    <row r="102">
      <c r="A102" s="3">
        <v>17.0</v>
      </c>
      <c r="B102" s="3" t="s">
        <v>30</v>
      </c>
      <c r="C102" s="3" t="s">
        <v>23</v>
      </c>
      <c r="D102" s="3" t="s">
        <v>264</v>
      </c>
      <c r="E102" s="3" t="s">
        <v>262</v>
      </c>
      <c r="F102" s="3" t="s">
        <v>257</v>
      </c>
      <c r="G102" s="3" t="s">
        <v>258</v>
      </c>
      <c r="H102" s="3" t="s">
        <v>259</v>
      </c>
      <c r="I102" s="3" t="s">
        <v>49</v>
      </c>
      <c r="J102" s="3" t="s">
        <v>260</v>
      </c>
      <c r="K102" s="3" t="s">
        <v>26</v>
      </c>
    </row>
    <row r="103">
      <c r="A103" s="3">
        <v>17.0</v>
      </c>
      <c r="B103" s="3" t="s">
        <v>30</v>
      </c>
      <c r="C103" s="3" t="s">
        <v>28</v>
      </c>
      <c r="D103" s="3" t="s">
        <v>263</v>
      </c>
      <c r="E103" s="3" t="s">
        <v>262</v>
      </c>
      <c r="F103" s="3" t="s">
        <v>257</v>
      </c>
      <c r="G103" s="3" t="s">
        <v>258</v>
      </c>
      <c r="H103" s="3" t="s">
        <v>259</v>
      </c>
      <c r="I103" s="3" t="s">
        <v>49</v>
      </c>
      <c r="J103" s="3" t="s">
        <v>260</v>
      </c>
      <c r="K103" s="3" t="s">
        <v>26</v>
      </c>
    </row>
    <row r="104">
      <c r="A104" s="3">
        <v>18.0</v>
      </c>
      <c r="B104" s="3" t="s">
        <v>11</v>
      </c>
      <c r="C104" s="3" t="s">
        <v>12</v>
      </c>
      <c r="D104" s="3" t="s">
        <v>265</v>
      </c>
      <c r="E104" s="3" t="s">
        <v>266</v>
      </c>
      <c r="F104" s="3" t="s">
        <v>267</v>
      </c>
      <c r="G104" s="3" t="s">
        <v>268</v>
      </c>
      <c r="H104" s="3" t="s">
        <v>269</v>
      </c>
      <c r="I104" s="3" t="s">
        <v>270</v>
      </c>
      <c r="J104" s="3" t="s">
        <v>271</v>
      </c>
      <c r="K104" s="3" t="s">
        <v>20</v>
      </c>
    </row>
    <row r="105">
      <c r="A105" s="3">
        <v>18.0</v>
      </c>
      <c r="B105" s="3" t="s">
        <v>11</v>
      </c>
      <c r="C105" s="3" t="s">
        <v>23</v>
      </c>
      <c r="D105" s="3" t="s">
        <v>272</v>
      </c>
      <c r="E105" s="3" t="s">
        <v>273</v>
      </c>
      <c r="F105" s="3" t="s">
        <v>267</v>
      </c>
      <c r="G105" s="3" t="s">
        <v>268</v>
      </c>
      <c r="H105" s="3" t="s">
        <v>269</v>
      </c>
      <c r="I105" s="3" t="s">
        <v>270</v>
      </c>
      <c r="J105" s="3" t="s">
        <v>271</v>
      </c>
      <c r="K105" s="3" t="s">
        <v>26</v>
      </c>
    </row>
    <row r="106">
      <c r="A106" s="3">
        <v>18.0</v>
      </c>
      <c r="B106" s="3" t="s">
        <v>11</v>
      </c>
      <c r="C106" s="3" t="s">
        <v>28</v>
      </c>
      <c r="D106" s="3" t="s">
        <v>265</v>
      </c>
      <c r="E106" s="3" t="s">
        <v>273</v>
      </c>
      <c r="F106" s="3" t="s">
        <v>267</v>
      </c>
      <c r="G106" s="3" t="s">
        <v>268</v>
      </c>
      <c r="H106" s="3" t="s">
        <v>269</v>
      </c>
      <c r="I106" s="3" t="s">
        <v>270</v>
      </c>
      <c r="J106" s="3" t="s">
        <v>271</v>
      </c>
      <c r="K106" s="3" t="s">
        <v>26</v>
      </c>
    </row>
    <row r="107">
      <c r="A107" s="3">
        <v>18.0</v>
      </c>
      <c r="B107" s="3" t="s">
        <v>30</v>
      </c>
      <c r="C107" s="3" t="s">
        <v>12</v>
      </c>
      <c r="D107" s="3" t="s">
        <v>274</v>
      </c>
      <c r="E107" s="3" t="s">
        <v>266</v>
      </c>
      <c r="F107" s="3" t="s">
        <v>267</v>
      </c>
      <c r="G107" s="3" t="s">
        <v>268</v>
      </c>
      <c r="H107" s="3" t="s">
        <v>269</v>
      </c>
      <c r="I107" s="3" t="s">
        <v>270</v>
      </c>
      <c r="J107" s="3" t="s">
        <v>271</v>
      </c>
      <c r="K107" s="3" t="s">
        <v>20</v>
      </c>
    </row>
    <row r="108">
      <c r="A108" s="3">
        <v>18.0</v>
      </c>
      <c r="B108" s="3" t="s">
        <v>30</v>
      </c>
      <c r="C108" s="3" t="s">
        <v>23</v>
      </c>
      <c r="D108" s="3" t="s">
        <v>275</v>
      </c>
      <c r="E108" s="3" t="s">
        <v>273</v>
      </c>
      <c r="F108" s="3" t="s">
        <v>267</v>
      </c>
      <c r="G108" s="3" t="s">
        <v>268</v>
      </c>
      <c r="H108" s="3" t="s">
        <v>269</v>
      </c>
      <c r="I108" s="3" t="s">
        <v>270</v>
      </c>
      <c r="J108" s="3" t="s">
        <v>271</v>
      </c>
      <c r="K108" s="3" t="s">
        <v>26</v>
      </c>
    </row>
    <row r="109">
      <c r="A109" s="3">
        <v>18.0</v>
      </c>
      <c r="B109" s="3" t="s">
        <v>30</v>
      </c>
      <c r="C109" s="3" t="s">
        <v>28</v>
      </c>
      <c r="D109" s="3" t="s">
        <v>274</v>
      </c>
      <c r="E109" s="3" t="s">
        <v>273</v>
      </c>
      <c r="F109" s="3" t="s">
        <v>267</v>
      </c>
      <c r="G109" s="3" t="s">
        <v>268</v>
      </c>
      <c r="H109" s="3" t="s">
        <v>269</v>
      </c>
      <c r="I109" s="3" t="s">
        <v>270</v>
      </c>
      <c r="J109" s="3" t="s">
        <v>271</v>
      </c>
      <c r="K109" s="3" t="s">
        <v>26</v>
      </c>
    </row>
    <row r="110">
      <c r="A110" s="3">
        <v>19.0</v>
      </c>
      <c r="B110" s="3" t="s">
        <v>11</v>
      </c>
      <c r="C110" s="3" t="s">
        <v>12</v>
      </c>
      <c r="D110" s="3" t="s">
        <v>276</v>
      </c>
      <c r="E110" s="3" t="s">
        <v>277</v>
      </c>
      <c r="F110" s="3" t="s">
        <v>278</v>
      </c>
      <c r="G110" s="3" t="s">
        <v>279</v>
      </c>
      <c r="H110" s="3" t="s">
        <v>280</v>
      </c>
      <c r="I110" s="3" t="s">
        <v>248</v>
      </c>
      <c r="J110" s="3" t="s">
        <v>281</v>
      </c>
      <c r="K110" s="3" t="s">
        <v>20</v>
      </c>
    </row>
    <row r="111">
      <c r="A111" s="3">
        <v>19.0</v>
      </c>
      <c r="B111" s="3" t="s">
        <v>11</v>
      </c>
      <c r="C111" s="3" t="s">
        <v>23</v>
      </c>
      <c r="D111" s="3" t="s">
        <v>282</v>
      </c>
      <c r="E111" s="3" t="s">
        <v>283</v>
      </c>
      <c r="F111" s="3" t="s">
        <v>278</v>
      </c>
      <c r="G111" s="3" t="s">
        <v>279</v>
      </c>
      <c r="H111" s="3" t="s">
        <v>280</v>
      </c>
      <c r="I111" s="3" t="s">
        <v>248</v>
      </c>
      <c r="J111" s="3" t="s">
        <v>281</v>
      </c>
      <c r="K111" s="3" t="s">
        <v>26</v>
      </c>
    </row>
    <row r="112">
      <c r="A112" s="3">
        <v>19.0</v>
      </c>
      <c r="B112" s="3" t="s">
        <v>11</v>
      </c>
      <c r="C112" s="3" t="s">
        <v>28</v>
      </c>
      <c r="D112" s="3" t="s">
        <v>276</v>
      </c>
      <c r="E112" s="3" t="s">
        <v>283</v>
      </c>
      <c r="F112" s="3" t="s">
        <v>278</v>
      </c>
      <c r="G112" s="3" t="s">
        <v>279</v>
      </c>
      <c r="H112" s="3" t="s">
        <v>280</v>
      </c>
      <c r="I112" s="3" t="s">
        <v>248</v>
      </c>
      <c r="J112" s="3" t="s">
        <v>281</v>
      </c>
      <c r="K112" s="3" t="s">
        <v>26</v>
      </c>
    </row>
    <row r="113">
      <c r="A113" s="3">
        <v>19.0</v>
      </c>
      <c r="B113" s="3" t="s">
        <v>30</v>
      </c>
      <c r="C113" s="3" t="s">
        <v>12</v>
      </c>
      <c r="D113" s="3" t="s">
        <v>284</v>
      </c>
      <c r="E113" s="3" t="s">
        <v>277</v>
      </c>
      <c r="F113" s="3" t="s">
        <v>278</v>
      </c>
      <c r="G113" s="3" t="s">
        <v>279</v>
      </c>
      <c r="H113" s="3" t="s">
        <v>280</v>
      </c>
      <c r="I113" s="3" t="s">
        <v>248</v>
      </c>
      <c r="J113" s="3" t="s">
        <v>281</v>
      </c>
      <c r="K113" s="3" t="s">
        <v>20</v>
      </c>
    </row>
    <row r="114">
      <c r="A114" s="3">
        <v>19.0</v>
      </c>
      <c r="B114" s="3" t="s">
        <v>30</v>
      </c>
      <c r="C114" s="3" t="s">
        <v>23</v>
      </c>
      <c r="D114" s="3" t="s">
        <v>285</v>
      </c>
      <c r="E114" s="3" t="s">
        <v>283</v>
      </c>
      <c r="F114" s="3" t="s">
        <v>278</v>
      </c>
      <c r="G114" s="3" t="s">
        <v>279</v>
      </c>
      <c r="H114" s="3" t="s">
        <v>280</v>
      </c>
      <c r="I114" s="3" t="s">
        <v>248</v>
      </c>
      <c r="J114" s="3" t="s">
        <v>281</v>
      </c>
      <c r="K114" s="3" t="s">
        <v>26</v>
      </c>
    </row>
    <row r="115">
      <c r="A115" s="3">
        <v>19.0</v>
      </c>
      <c r="B115" s="3" t="s">
        <v>30</v>
      </c>
      <c r="C115" s="3" t="s">
        <v>28</v>
      </c>
      <c r="D115" s="3" t="s">
        <v>284</v>
      </c>
      <c r="E115" s="3" t="s">
        <v>283</v>
      </c>
      <c r="F115" s="3" t="s">
        <v>278</v>
      </c>
      <c r="G115" s="3" t="s">
        <v>279</v>
      </c>
      <c r="H115" s="3" t="s">
        <v>280</v>
      </c>
      <c r="I115" s="3" t="s">
        <v>248</v>
      </c>
      <c r="J115" s="3" t="s">
        <v>281</v>
      </c>
      <c r="K115" s="3" t="s">
        <v>26</v>
      </c>
    </row>
    <row r="116">
      <c r="A116" s="3">
        <v>20.0</v>
      </c>
      <c r="B116" s="3" t="s">
        <v>11</v>
      </c>
      <c r="C116" s="3" t="s">
        <v>12</v>
      </c>
      <c r="D116" s="3" t="s">
        <v>286</v>
      </c>
      <c r="E116" s="3" t="s">
        <v>287</v>
      </c>
      <c r="F116" s="3" t="s">
        <v>288</v>
      </c>
      <c r="G116" s="3" t="s">
        <v>289</v>
      </c>
      <c r="H116" s="3" t="s">
        <v>290</v>
      </c>
      <c r="I116" s="3" t="s">
        <v>291</v>
      </c>
      <c r="J116" s="3" t="s">
        <v>292</v>
      </c>
      <c r="K116" s="3" t="s">
        <v>20</v>
      </c>
    </row>
    <row r="117">
      <c r="A117" s="3">
        <v>20.0</v>
      </c>
      <c r="B117" s="3" t="s">
        <v>11</v>
      </c>
      <c r="C117" s="3" t="s">
        <v>23</v>
      </c>
      <c r="D117" s="3" t="s">
        <v>293</v>
      </c>
      <c r="E117" s="3" t="s">
        <v>294</v>
      </c>
      <c r="F117" s="3" t="s">
        <v>288</v>
      </c>
      <c r="G117" s="3" t="s">
        <v>289</v>
      </c>
      <c r="H117" s="3" t="s">
        <v>290</v>
      </c>
      <c r="I117" s="3" t="s">
        <v>291</v>
      </c>
      <c r="J117" s="3" t="s">
        <v>292</v>
      </c>
      <c r="K117" s="3" t="s">
        <v>26</v>
      </c>
    </row>
    <row r="118">
      <c r="A118" s="3">
        <v>20.0</v>
      </c>
      <c r="B118" s="3" t="s">
        <v>11</v>
      </c>
      <c r="C118" s="3" t="s">
        <v>28</v>
      </c>
      <c r="D118" s="3" t="s">
        <v>286</v>
      </c>
      <c r="E118" s="3" t="s">
        <v>294</v>
      </c>
      <c r="F118" s="3" t="s">
        <v>288</v>
      </c>
      <c r="G118" s="3" t="s">
        <v>289</v>
      </c>
      <c r="H118" s="3" t="s">
        <v>290</v>
      </c>
      <c r="I118" s="3" t="s">
        <v>291</v>
      </c>
      <c r="J118" s="3" t="s">
        <v>292</v>
      </c>
      <c r="K118" s="3" t="s">
        <v>26</v>
      </c>
    </row>
    <row r="119">
      <c r="A119" s="3">
        <v>20.0</v>
      </c>
      <c r="B119" s="3" t="s">
        <v>30</v>
      </c>
      <c r="C119" s="3" t="s">
        <v>12</v>
      </c>
      <c r="D119" s="3" t="s">
        <v>295</v>
      </c>
      <c r="E119" s="3" t="s">
        <v>287</v>
      </c>
      <c r="F119" s="3" t="s">
        <v>288</v>
      </c>
      <c r="G119" s="3" t="s">
        <v>289</v>
      </c>
      <c r="H119" s="3" t="s">
        <v>290</v>
      </c>
      <c r="I119" s="3" t="s">
        <v>291</v>
      </c>
      <c r="J119" s="3" t="s">
        <v>292</v>
      </c>
      <c r="K119" s="3" t="s">
        <v>20</v>
      </c>
    </row>
    <row r="120">
      <c r="A120" s="3">
        <v>20.0</v>
      </c>
      <c r="B120" s="3" t="s">
        <v>30</v>
      </c>
      <c r="C120" s="3" t="s">
        <v>23</v>
      </c>
      <c r="D120" s="3" t="s">
        <v>296</v>
      </c>
      <c r="E120" s="3" t="s">
        <v>294</v>
      </c>
      <c r="F120" s="3" t="s">
        <v>288</v>
      </c>
      <c r="G120" s="3" t="s">
        <v>289</v>
      </c>
      <c r="H120" s="3" t="s">
        <v>290</v>
      </c>
      <c r="I120" s="3" t="s">
        <v>291</v>
      </c>
      <c r="J120" s="3" t="s">
        <v>292</v>
      </c>
      <c r="K120" s="3" t="s">
        <v>26</v>
      </c>
    </row>
    <row r="121">
      <c r="A121" s="3">
        <v>20.0</v>
      </c>
      <c r="B121" s="3" t="s">
        <v>30</v>
      </c>
      <c r="C121" s="3" t="s">
        <v>28</v>
      </c>
      <c r="D121" s="3" t="s">
        <v>295</v>
      </c>
      <c r="E121" s="3" t="s">
        <v>294</v>
      </c>
      <c r="F121" s="3" t="s">
        <v>288</v>
      </c>
      <c r="G121" s="3" t="s">
        <v>289</v>
      </c>
      <c r="H121" s="3" t="s">
        <v>290</v>
      </c>
      <c r="I121" s="3" t="s">
        <v>291</v>
      </c>
      <c r="J121" s="3" t="s">
        <v>292</v>
      </c>
      <c r="K121" s="3" t="s">
        <v>26</v>
      </c>
    </row>
    <row r="122">
      <c r="A122" s="3">
        <v>21.0</v>
      </c>
      <c r="B122" s="3" t="s">
        <v>11</v>
      </c>
      <c r="C122" s="3" t="s">
        <v>12</v>
      </c>
      <c r="D122" s="3" t="s">
        <v>265</v>
      </c>
      <c r="E122" s="3" t="s">
        <v>297</v>
      </c>
      <c r="F122" s="3" t="s">
        <v>298</v>
      </c>
      <c r="G122" s="3" t="s">
        <v>299</v>
      </c>
      <c r="H122" s="3" t="s">
        <v>300</v>
      </c>
      <c r="I122" s="3" t="s">
        <v>301</v>
      </c>
      <c r="J122" s="3" t="s">
        <v>302</v>
      </c>
      <c r="K122" s="3" t="s">
        <v>20</v>
      </c>
    </row>
    <row r="123">
      <c r="A123" s="3">
        <v>21.0</v>
      </c>
      <c r="B123" s="3" t="s">
        <v>11</v>
      </c>
      <c r="C123" s="3" t="s">
        <v>23</v>
      </c>
      <c r="D123" s="3" t="s">
        <v>272</v>
      </c>
      <c r="E123" s="3" t="s">
        <v>303</v>
      </c>
      <c r="F123" s="3" t="s">
        <v>298</v>
      </c>
      <c r="G123" s="3" t="s">
        <v>299</v>
      </c>
      <c r="H123" s="3" t="s">
        <v>300</v>
      </c>
      <c r="I123" s="3" t="s">
        <v>301</v>
      </c>
      <c r="J123" s="3" t="s">
        <v>302</v>
      </c>
      <c r="K123" s="3" t="s">
        <v>26</v>
      </c>
    </row>
    <row r="124">
      <c r="A124" s="3">
        <v>21.0</v>
      </c>
      <c r="B124" s="3" t="s">
        <v>11</v>
      </c>
      <c r="C124" s="3" t="s">
        <v>28</v>
      </c>
      <c r="D124" s="3" t="s">
        <v>265</v>
      </c>
      <c r="E124" s="3" t="s">
        <v>303</v>
      </c>
      <c r="F124" s="3" t="s">
        <v>298</v>
      </c>
      <c r="G124" s="3" t="s">
        <v>299</v>
      </c>
      <c r="H124" s="3" t="s">
        <v>300</v>
      </c>
      <c r="I124" s="3" t="s">
        <v>301</v>
      </c>
      <c r="J124" s="3" t="s">
        <v>302</v>
      </c>
      <c r="K124" s="3" t="s">
        <v>26</v>
      </c>
    </row>
    <row r="125">
      <c r="A125" s="3">
        <v>21.0</v>
      </c>
      <c r="B125" s="3" t="s">
        <v>30</v>
      </c>
      <c r="C125" s="3" t="s">
        <v>12</v>
      </c>
      <c r="D125" s="3" t="s">
        <v>274</v>
      </c>
      <c r="E125" s="3" t="s">
        <v>297</v>
      </c>
      <c r="F125" s="3" t="s">
        <v>298</v>
      </c>
      <c r="G125" s="3" t="s">
        <v>299</v>
      </c>
      <c r="H125" s="3" t="s">
        <v>300</v>
      </c>
      <c r="I125" s="3" t="s">
        <v>301</v>
      </c>
      <c r="J125" s="3" t="s">
        <v>302</v>
      </c>
      <c r="K125" s="3" t="s">
        <v>20</v>
      </c>
    </row>
    <row r="126">
      <c r="A126" s="3">
        <v>21.0</v>
      </c>
      <c r="B126" s="3" t="s">
        <v>30</v>
      </c>
      <c r="C126" s="3" t="s">
        <v>23</v>
      </c>
      <c r="D126" s="3" t="s">
        <v>275</v>
      </c>
      <c r="E126" s="3" t="s">
        <v>303</v>
      </c>
      <c r="F126" s="3" t="s">
        <v>298</v>
      </c>
      <c r="G126" s="3" t="s">
        <v>299</v>
      </c>
      <c r="H126" s="3" t="s">
        <v>300</v>
      </c>
      <c r="I126" s="3" t="s">
        <v>301</v>
      </c>
      <c r="J126" s="3" t="s">
        <v>302</v>
      </c>
      <c r="K126" s="3" t="s">
        <v>26</v>
      </c>
    </row>
    <row r="127">
      <c r="A127" s="3">
        <v>21.0</v>
      </c>
      <c r="B127" s="3" t="s">
        <v>30</v>
      </c>
      <c r="C127" s="3" t="s">
        <v>28</v>
      </c>
      <c r="D127" s="3" t="s">
        <v>274</v>
      </c>
      <c r="E127" s="3" t="s">
        <v>303</v>
      </c>
      <c r="F127" s="3" t="s">
        <v>298</v>
      </c>
      <c r="G127" s="3" t="s">
        <v>299</v>
      </c>
      <c r="H127" s="3" t="s">
        <v>300</v>
      </c>
      <c r="I127" s="3" t="s">
        <v>301</v>
      </c>
      <c r="J127" s="3" t="s">
        <v>302</v>
      </c>
      <c r="K127" s="3" t="s">
        <v>26</v>
      </c>
    </row>
    <row r="128">
      <c r="A128" s="3">
        <v>22.0</v>
      </c>
      <c r="B128" s="3" t="s">
        <v>11</v>
      </c>
      <c r="C128" s="3" t="s">
        <v>12</v>
      </c>
      <c r="D128" s="3" t="s">
        <v>235</v>
      </c>
      <c r="E128" s="3" t="s">
        <v>304</v>
      </c>
      <c r="F128" s="3" t="s">
        <v>84</v>
      </c>
      <c r="G128" s="3" t="s">
        <v>305</v>
      </c>
      <c r="H128" s="3" t="s">
        <v>306</v>
      </c>
      <c r="I128" s="3" t="s">
        <v>307</v>
      </c>
      <c r="J128" s="3" t="s">
        <v>308</v>
      </c>
      <c r="K128" s="3" t="s">
        <v>20</v>
      </c>
    </row>
    <row r="129">
      <c r="A129" s="3">
        <v>22.0</v>
      </c>
      <c r="B129" s="3" t="s">
        <v>11</v>
      </c>
      <c r="C129" s="3" t="s">
        <v>23</v>
      </c>
      <c r="D129" s="3" t="s">
        <v>241</v>
      </c>
      <c r="E129" s="3" t="s">
        <v>309</v>
      </c>
      <c r="F129" s="3" t="s">
        <v>84</v>
      </c>
      <c r="G129" s="3" t="s">
        <v>305</v>
      </c>
      <c r="H129" s="3" t="s">
        <v>306</v>
      </c>
      <c r="I129" s="3" t="s">
        <v>307</v>
      </c>
      <c r="J129" s="3" t="s">
        <v>308</v>
      </c>
      <c r="K129" s="3" t="s">
        <v>26</v>
      </c>
    </row>
    <row r="130">
      <c r="A130" s="3">
        <v>22.0</v>
      </c>
      <c r="B130" s="3" t="s">
        <v>11</v>
      </c>
      <c r="C130" s="3" t="s">
        <v>28</v>
      </c>
      <c r="D130" s="3" t="s">
        <v>235</v>
      </c>
      <c r="E130" s="3" t="s">
        <v>309</v>
      </c>
      <c r="F130" s="3" t="s">
        <v>84</v>
      </c>
      <c r="G130" s="3" t="s">
        <v>305</v>
      </c>
      <c r="H130" s="3" t="s">
        <v>306</v>
      </c>
      <c r="I130" s="3" t="s">
        <v>307</v>
      </c>
      <c r="J130" s="3" t="s">
        <v>308</v>
      </c>
      <c r="K130" s="3" t="s">
        <v>26</v>
      </c>
    </row>
    <row r="131">
      <c r="A131" s="3">
        <v>22.0</v>
      </c>
      <c r="B131" s="3" t="s">
        <v>30</v>
      </c>
      <c r="C131" s="3" t="s">
        <v>12</v>
      </c>
      <c r="D131" s="3" t="s">
        <v>242</v>
      </c>
      <c r="E131" s="3" t="s">
        <v>304</v>
      </c>
      <c r="F131" s="3" t="s">
        <v>84</v>
      </c>
      <c r="G131" s="3" t="s">
        <v>305</v>
      </c>
      <c r="H131" s="3" t="s">
        <v>306</v>
      </c>
      <c r="I131" s="3" t="s">
        <v>307</v>
      </c>
      <c r="J131" s="3" t="s">
        <v>308</v>
      </c>
      <c r="K131" s="3" t="s">
        <v>20</v>
      </c>
    </row>
    <row r="132">
      <c r="A132" s="3">
        <v>22.0</v>
      </c>
      <c r="B132" s="3" t="s">
        <v>30</v>
      </c>
      <c r="C132" s="3" t="s">
        <v>23</v>
      </c>
      <c r="D132" s="3" t="s">
        <v>243</v>
      </c>
      <c r="E132" s="3" t="s">
        <v>309</v>
      </c>
      <c r="F132" s="3" t="s">
        <v>84</v>
      </c>
      <c r="G132" s="3" t="s">
        <v>305</v>
      </c>
      <c r="H132" s="3" t="s">
        <v>306</v>
      </c>
      <c r="I132" s="3" t="s">
        <v>307</v>
      </c>
      <c r="J132" s="3" t="s">
        <v>308</v>
      </c>
      <c r="K132" s="3" t="s">
        <v>26</v>
      </c>
    </row>
    <row r="133">
      <c r="A133" s="3">
        <v>22.0</v>
      </c>
      <c r="B133" s="3" t="s">
        <v>30</v>
      </c>
      <c r="C133" s="3" t="s">
        <v>28</v>
      </c>
      <c r="D133" s="3" t="s">
        <v>242</v>
      </c>
      <c r="E133" s="3" t="s">
        <v>309</v>
      </c>
      <c r="F133" s="3" t="s">
        <v>84</v>
      </c>
      <c r="G133" s="3" t="s">
        <v>305</v>
      </c>
      <c r="H133" s="3" t="s">
        <v>306</v>
      </c>
      <c r="I133" s="3" t="s">
        <v>307</v>
      </c>
      <c r="J133" s="3" t="s">
        <v>308</v>
      </c>
      <c r="K133" s="3" t="s">
        <v>26</v>
      </c>
    </row>
    <row r="134">
      <c r="A134" s="3">
        <v>23.0</v>
      </c>
      <c r="B134" s="3" t="s">
        <v>11</v>
      </c>
      <c r="C134" s="3" t="s">
        <v>12</v>
      </c>
      <c r="D134" s="3" t="s">
        <v>310</v>
      </c>
      <c r="E134" s="3" t="s">
        <v>311</v>
      </c>
      <c r="F134" s="3" t="s">
        <v>312</v>
      </c>
      <c r="G134" s="3" t="s">
        <v>313</v>
      </c>
      <c r="H134" s="3" t="s">
        <v>314</v>
      </c>
      <c r="I134" s="3" t="s">
        <v>315</v>
      </c>
      <c r="J134" s="3" t="s">
        <v>316</v>
      </c>
      <c r="K134" s="3" t="s">
        <v>20</v>
      </c>
    </row>
    <row r="135">
      <c r="A135" s="3">
        <v>23.0</v>
      </c>
      <c r="B135" s="3" t="s">
        <v>11</v>
      </c>
      <c r="C135" s="3" t="s">
        <v>23</v>
      </c>
      <c r="D135" s="3" t="s">
        <v>317</v>
      </c>
      <c r="E135" s="3" t="s">
        <v>318</v>
      </c>
      <c r="F135" s="3" t="s">
        <v>312</v>
      </c>
      <c r="G135" s="3" t="s">
        <v>313</v>
      </c>
      <c r="H135" s="3" t="s">
        <v>314</v>
      </c>
      <c r="I135" s="3" t="s">
        <v>315</v>
      </c>
      <c r="J135" s="3" t="s">
        <v>316</v>
      </c>
      <c r="K135" s="3" t="s">
        <v>26</v>
      </c>
    </row>
    <row r="136">
      <c r="A136" s="3">
        <v>23.0</v>
      </c>
      <c r="B136" s="3" t="s">
        <v>11</v>
      </c>
      <c r="C136" s="3" t="s">
        <v>28</v>
      </c>
      <c r="D136" s="3" t="s">
        <v>310</v>
      </c>
      <c r="E136" s="3" t="s">
        <v>318</v>
      </c>
      <c r="F136" s="3" t="s">
        <v>312</v>
      </c>
      <c r="G136" s="3" t="s">
        <v>313</v>
      </c>
      <c r="H136" s="3" t="s">
        <v>314</v>
      </c>
      <c r="I136" s="3" t="s">
        <v>315</v>
      </c>
      <c r="J136" s="3" t="s">
        <v>316</v>
      </c>
      <c r="K136" s="3" t="s">
        <v>26</v>
      </c>
    </row>
    <row r="137">
      <c r="A137" s="3">
        <v>23.0</v>
      </c>
      <c r="B137" s="3" t="s">
        <v>30</v>
      </c>
      <c r="C137" s="3" t="s">
        <v>12</v>
      </c>
      <c r="D137" s="3" t="s">
        <v>319</v>
      </c>
      <c r="E137" s="3" t="s">
        <v>311</v>
      </c>
      <c r="F137" s="3" t="s">
        <v>312</v>
      </c>
      <c r="G137" s="3" t="s">
        <v>313</v>
      </c>
      <c r="H137" s="3" t="s">
        <v>314</v>
      </c>
      <c r="I137" s="3" t="s">
        <v>315</v>
      </c>
      <c r="J137" s="3" t="s">
        <v>316</v>
      </c>
      <c r="K137" s="3" t="s">
        <v>20</v>
      </c>
    </row>
    <row r="138">
      <c r="A138" s="3">
        <v>23.0</v>
      </c>
      <c r="B138" s="3" t="s">
        <v>30</v>
      </c>
      <c r="C138" s="3" t="s">
        <v>23</v>
      </c>
      <c r="D138" s="3" t="s">
        <v>320</v>
      </c>
      <c r="E138" s="3" t="s">
        <v>318</v>
      </c>
      <c r="F138" s="3" t="s">
        <v>312</v>
      </c>
      <c r="G138" s="3" t="s">
        <v>313</v>
      </c>
      <c r="H138" s="3" t="s">
        <v>314</v>
      </c>
      <c r="I138" s="3" t="s">
        <v>315</v>
      </c>
      <c r="J138" s="3" t="s">
        <v>316</v>
      </c>
      <c r="K138" s="3" t="s">
        <v>26</v>
      </c>
    </row>
    <row r="139">
      <c r="A139" s="3">
        <v>23.0</v>
      </c>
      <c r="B139" s="3" t="s">
        <v>30</v>
      </c>
      <c r="C139" s="3" t="s">
        <v>28</v>
      </c>
      <c r="D139" s="3" t="s">
        <v>319</v>
      </c>
      <c r="E139" s="3" t="s">
        <v>318</v>
      </c>
      <c r="F139" s="3" t="s">
        <v>312</v>
      </c>
      <c r="G139" s="3" t="s">
        <v>313</v>
      </c>
      <c r="H139" s="3" t="s">
        <v>314</v>
      </c>
      <c r="I139" s="3" t="s">
        <v>315</v>
      </c>
      <c r="J139" s="3" t="s">
        <v>316</v>
      </c>
      <c r="K139" s="3" t="s">
        <v>26</v>
      </c>
    </row>
    <row r="140">
      <c r="A140" s="3">
        <v>24.0</v>
      </c>
      <c r="B140" s="3" t="s">
        <v>11</v>
      </c>
      <c r="C140" s="3" t="s">
        <v>12</v>
      </c>
      <c r="D140" s="3" t="s">
        <v>321</v>
      </c>
      <c r="E140" s="3" t="s">
        <v>322</v>
      </c>
      <c r="F140" s="3" t="s">
        <v>16</v>
      </c>
      <c r="G140" s="3" t="s">
        <v>323</v>
      </c>
      <c r="H140" s="3" t="s">
        <v>324</v>
      </c>
      <c r="I140" s="3" t="s">
        <v>63</v>
      </c>
      <c r="J140" s="3" t="s">
        <v>129</v>
      </c>
      <c r="K140" s="3" t="s">
        <v>20</v>
      </c>
    </row>
    <row r="141">
      <c r="A141" s="3">
        <v>24.0</v>
      </c>
      <c r="B141" s="3" t="s">
        <v>11</v>
      </c>
      <c r="C141" s="3" t="s">
        <v>23</v>
      </c>
      <c r="D141" s="3" t="s">
        <v>325</v>
      </c>
      <c r="E141" s="3" t="s">
        <v>143</v>
      </c>
      <c r="F141" s="3" t="s">
        <v>16</v>
      </c>
      <c r="G141" s="3" t="s">
        <v>323</v>
      </c>
      <c r="H141" s="3" t="s">
        <v>324</v>
      </c>
      <c r="I141" s="3" t="s">
        <v>63</v>
      </c>
      <c r="J141" s="3" t="s">
        <v>129</v>
      </c>
      <c r="K141" s="3" t="s">
        <v>26</v>
      </c>
    </row>
    <row r="142">
      <c r="A142" s="3">
        <v>24.0</v>
      </c>
      <c r="B142" s="3" t="s">
        <v>11</v>
      </c>
      <c r="C142" s="3" t="s">
        <v>28</v>
      </c>
      <c r="D142" s="3" t="s">
        <v>321</v>
      </c>
      <c r="E142" s="3" t="s">
        <v>143</v>
      </c>
      <c r="F142" s="3" t="s">
        <v>16</v>
      </c>
      <c r="G142" s="3" t="s">
        <v>323</v>
      </c>
      <c r="H142" s="3" t="s">
        <v>324</v>
      </c>
      <c r="I142" s="3" t="s">
        <v>63</v>
      </c>
      <c r="J142" s="3" t="s">
        <v>129</v>
      </c>
      <c r="K142" s="3" t="s">
        <v>26</v>
      </c>
    </row>
    <row r="143">
      <c r="A143" s="3">
        <v>24.0</v>
      </c>
      <c r="B143" s="3" t="s">
        <v>30</v>
      </c>
      <c r="C143" s="3" t="s">
        <v>12</v>
      </c>
      <c r="D143" s="3" t="s">
        <v>326</v>
      </c>
      <c r="E143" s="3" t="s">
        <v>322</v>
      </c>
      <c r="F143" s="3" t="s">
        <v>16</v>
      </c>
      <c r="G143" s="3" t="s">
        <v>323</v>
      </c>
      <c r="H143" s="3" t="s">
        <v>324</v>
      </c>
      <c r="I143" s="3" t="s">
        <v>63</v>
      </c>
      <c r="J143" s="3" t="s">
        <v>129</v>
      </c>
      <c r="K143" s="3" t="s">
        <v>20</v>
      </c>
    </row>
    <row r="144">
      <c r="A144" s="3">
        <v>24.0</v>
      </c>
      <c r="B144" s="3" t="s">
        <v>30</v>
      </c>
      <c r="C144" s="3" t="s">
        <v>23</v>
      </c>
      <c r="D144" s="3" t="s">
        <v>327</v>
      </c>
      <c r="E144" s="3" t="s">
        <v>143</v>
      </c>
      <c r="F144" s="3" t="s">
        <v>16</v>
      </c>
      <c r="G144" s="3" t="s">
        <v>323</v>
      </c>
      <c r="H144" s="3" t="s">
        <v>324</v>
      </c>
      <c r="I144" s="3" t="s">
        <v>63</v>
      </c>
      <c r="J144" s="3" t="s">
        <v>129</v>
      </c>
      <c r="K144" s="3" t="s">
        <v>26</v>
      </c>
    </row>
    <row r="145">
      <c r="A145" s="3">
        <v>24.0</v>
      </c>
      <c r="B145" s="3" t="s">
        <v>30</v>
      </c>
      <c r="C145" s="3" t="s">
        <v>28</v>
      </c>
      <c r="D145" s="3" t="s">
        <v>326</v>
      </c>
      <c r="E145" s="3" t="s">
        <v>143</v>
      </c>
      <c r="F145" s="3" t="s">
        <v>16</v>
      </c>
      <c r="G145" s="3" t="s">
        <v>323</v>
      </c>
      <c r="H145" s="3" t="s">
        <v>324</v>
      </c>
      <c r="I145" s="3" t="s">
        <v>63</v>
      </c>
      <c r="J145" s="3" t="s">
        <v>129</v>
      </c>
      <c r="K145" s="3" t="s">
        <v>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328</v>
      </c>
    </row>
    <row r="2">
      <c r="A2" s="8">
        <v>1.0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5" t="str">
        <f>IFERROR(__xludf.DUMMYFUNCTION("JOIN("" "", D2:J2)"),"Göçmenin sözcüleri geçen hafta protestoda aralıksız bağırdılar.")</f>
        <v>Göçmenin sözcüleri geçen hafta protestoda aralıksız bağırdılar.</v>
      </c>
    </row>
    <row r="3">
      <c r="A3" s="8">
        <v>1.0</v>
      </c>
      <c r="B3" s="3" t="s">
        <v>11</v>
      </c>
      <c r="C3" s="3" t="s">
        <v>23</v>
      </c>
      <c r="D3" s="3" t="s">
        <v>24</v>
      </c>
      <c r="E3" s="3" t="s">
        <v>25</v>
      </c>
      <c r="F3" s="3" t="s">
        <v>15</v>
      </c>
      <c r="G3" s="3" t="s">
        <v>16</v>
      </c>
      <c r="H3" s="3" t="s">
        <v>17</v>
      </c>
      <c r="I3" s="3" t="s">
        <v>18</v>
      </c>
      <c r="J3" s="3" t="s">
        <v>19</v>
      </c>
      <c r="K3" s="5" t="str">
        <f>IFERROR(__xludf.DUMMYFUNCTION("JOIN("" "", D3:J3)"),"Göçmenlerin sözcüsü geçen hafta protestoda aralıksız bağırdılar.")</f>
        <v>Göçmenlerin sözcüsü geçen hafta protestoda aralıksız bağırdılar.</v>
      </c>
    </row>
    <row r="4">
      <c r="A4" s="8">
        <v>1.0</v>
      </c>
      <c r="B4" s="3" t="s">
        <v>11</v>
      </c>
      <c r="C4" s="3" t="s">
        <v>28</v>
      </c>
      <c r="D4" s="3" t="s">
        <v>13</v>
      </c>
      <c r="E4" s="3" t="s">
        <v>25</v>
      </c>
      <c r="F4" s="3" t="s">
        <v>15</v>
      </c>
      <c r="G4" s="3" t="s">
        <v>16</v>
      </c>
      <c r="H4" s="3" t="s">
        <v>17</v>
      </c>
      <c r="I4" s="3" t="s">
        <v>18</v>
      </c>
      <c r="J4" s="3" t="s">
        <v>19</v>
      </c>
      <c r="K4" s="5" t="str">
        <f>IFERROR(__xludf.DUMMYFUNCTION("JOIN("" "", D4:J4)"),"Göçmenin sözcüsü geçen hafta protestoda aralıksız bağırdılar.")</f>
        <v>Göçmenin sözcüsü geçen hafta protestoda aralıksız bağırdılar.</v>
      </c>
    </row>
    <row r="5">
      <c r="A5" s="8">
        <v>1.0</v>
      </c>
      <c r="B5" s="3" t="s">
        <v>30</v>
      </c>
      <c r="C5" s="3" t="s">
        <v>12</v>
      </c>
      <c r="D5" s="4" t="s">
        <v>31</v>
      </c>
      <c r="E5" s="4" t="s">
        <v>14</v>
      </c>
      <c r="F5" s="3" t="s">
        <v>15</v>
      </c>
      <c r="G5" s="3" t="s">
        <v>16</v>
      </c>
      <c r="H5" s="3" t="s">
        <v>17</v>
      </c>
      <c r="I5" s="3" t="s">
        <v>18</v>
      </c>
      <c r="J5" s="3" t="s">
        <v>19</v>
      </c>
      <c r="K5" s="5" t="str">
        <f>IFERROR(__xludf.DUMMYFUNCTION("JOIN("" "", D5:J5)"),"Göçmen sözcüleri geçen hafta protestoda aralıksız bağırdılar.")</f>
        <v>Göçmen sözcüleri geçen hafta protestoda aralıksız bağırdılar.</v>
      </c>
    </row>
    <row r="6">
      <c r="A6" s="8">
        <v>1.0</v>
      </c>
      <c r="B6" s="3" t="s">
        <v>30</v>
      </c>
      <c r="C6" s="3" t="s">
        <v>23</v>
      </c>
      <c r="D6" s="3" t="s">
        <v>32</v>
      </c>
      <c r="E6" s="3" t="s">
        <v>25</v>
      </c>
      <c r="F6" s="3" t="s">
        <v>15</v>
      </c>
      <c r="G6" s="3" t="s">
        <v>16</v>
      </c>
      <c r="H6" s="3" t="s">
        <v>17</v>
      </c>
      <c r="I6" s="3" t="s">
        <v>18</v>
      </c>
      <c r="J6" s="3" t="s">
        <v>19</v>
      </c>
      <c r="K6" s="5" t="str">
        <f>IFERROR(__xludf.DUMMYFUNCTION("JOIN("" "", D6:J6)"),"Göçmenler sözcüsü geçen hafta protestoda aralıksız bağırdılar.")</f>
        <v>Göçmenler sözcüsü geçen hafta protestoda aralıksız bağırdılar.</v>
      </c>
    </row>
    <row r="7">
      <c r="A7" s="8">
        <v>1.0</v>
      </c>
      <c r="B7" s="3" t="s">
        <v>30</v>
      </c>
      <c r="C7" s="3" t="s">
        <v>28</v>
      </c>
      <c r="D7" s="3" t="s">
        <v>31</v>
      </c>
      <c r="E7" s="3" t="s">
        <v>25</v>
      </c>
      <c r="F7" s="3" t="s">
        <v>15</v>
      </c>
      <c r="G7" s="3" t="s">
        <v>16</v>
      </c>
      <c r="H7" s="3" t="s">
        <v>17</v>
      </c>
      <c r="I7" s="3" t="s">
        <v>18</v>
      </c>
      <c r="J7" s="3" t="s">
        <v>19</v>
      </c>
      <c r="K7" s="5" t="str">
        <f>IFERROR(__xludf.DUMMYFUNCTION("JOIN("" "", D7:J7)"),"Göçmen sözcüsü geçen hafta protestoda aralıksız bağırdılar.")</f>
        <v>Göçmen sözcüsü geçen hafta protestoda aralıksız bağırdılar.</v>
      </c>
    </row>
    <row r="8">
      <c r="A8" s="8">
        <v>2.0</v>
      </c>
      <c r="B8" s="3" t="s">
        <v>11</v>
      </c>
      <c r="C8" s="3" t="s">
        <v>12</v>
      </c>
      <c r="D8" s="3" t="s">
        <v>35</v>
      </c>
      <c r="E8" s="3" t="s">
        <v>36</v>
      </c>
      <c r="F8" s="3" t="s">
        <v>37</v>
      </c>
      <c r="G8" s="3" t="s">
        <v>38</v>
      </c>
      <c r="H8" s="3" t="s">
        <v>39</v>
      </c>
      <c r="I8" s="3" t="s">
        <v>39</v>
      </c>
      <c r="J8" s="3" t="s">
        <v>40</v>
      </c>
      <c r="K8" s="5" t="str">
        <f>IFERROR(__xludf.DUMMYFUNCTION("JOIN("" "", D8:J8)"),"Stajyerin temsilcileri bugünkü toplantıda edepsiz edepsiz konuştular.")</f>
        <v>Stajyerin temsilcileri bugünkü toplantıda edepsiz edepsiz konuştular.</v>
      </c>
    </row>
    <row r="9">
      <c r="A9" s="8">
        <v>2.0</v>
      </c>
      <c r="B9" s="3" t="s">
        <v>11</v>
      </c>
      <c r="C9" s="3" t="s">
        <v>23</v>
      </c>
      <c r="D9" s="3" t="s">
        <v>42</v>
      </c>
      <c r="E9" s="3" t="s">
        <v>43</v>
      </c>
      <c r="F9" s="3" t="s">
        <v>37</v>
      </c>
      <c r="G9" s="3" t="s">
        <v>38</v>
      </c>
      <c r="H9" s="3" t="s">
        <v>39</v>
      </c>
      <c r="I9" s="3" t="s">
        <v>39</v>
      </c>
      <c r="J9" s="3" t="s">
        <v>40</v>
      </c>
      <c r="K9" s="5" t="str">
        <f>IFERROR(__xludf.DUMMYFUNCTION("JOIN("" "", D9:J9)"),"Stajyerlerin temsilcisi bugünkü toplantıda edepsiz edepsiz konuştular.")</f>
        <v>Stajyerlerin temsilcisi bugünkü toplantıda edepsiz edepsiz konuştular.</v>
      </c>
    </row>
    <row r="10">
      <c r="A10" s="8">
        <v>2.0</v>
      </c>
      <c r="B10" s="3" t="s">
        <v>11</v>
      </c>
      <c r="C10" s="3" t="s">
        <v>28</v>
      </c>
      <c r="D10" s="3" t="s">
        <v>35</v>
      </c>
      <c r="E10" s="3" t="s">
        <v>43</v>
      </c>
      <c r="F10" s="3" t="s">
        <v>37</v>
      </c>
      <c r="G10" s="3" t="s">
        <v>38</v>
      </c>
      <c r="H10" s="3" t="s">
        <v>39</v>
      </c>
      <c r="I10" s="3" t="s">
        <v>39</v>
      </c>
      <c r="J10" s="3" t="s">
        <v>40</v>
      </c>
      <c r="K10" s="5" t="str">
        <f>IFERROR(__xludf.DUMMYFUNCTION("JOIN("" "", D10:J10)"),"Stajyerin temsilcisi bugünkü toplantıda edepsiz edepsiz konuştular.")</f>
        <v>Stajyerin temsilcisi bugünkü toplantıda edepsiz edepsiz konuştular.</v>
      </c>
    </row>
    <row r="11">
      <c r="A11" s="8">
        <v>2.0</v>
      </c>
      <c r="B11" s="3" t="s">
        <v>30</v>
      </c>
      <c r="C11" s="3" t="s">
        <v>12</v>
      </c>
      <c r="D11" s="3" t="s">
        <v>44</v>
      </c>
      <c r="E11" s="3" t="s">
        <v>36</v>
      </c>
      <c r="F11" s="3" t="s">
        <v>37</v>
      </c>
      <c r="G11" s="3" t="s">
        <v>38</v>
      </c>
      <c r="H11" s="3" t="s">
        <v>39</v>
      </c>
      <c r="I11" s="3" t="s">
        <v>39</v>
      </c>
      <c r="J11" s="3" t="s">
        <v>40</v>
      </c>
      <c r="K11" s="5" t="str">
        <f>IFERROR(__xludf.DUMMYFUNCTION("JOIN("" "", D11:J11)"),"Stajyer temsilcileri bugünkü toplantıda edepsiz edepsiz konuştular.")</f>
        <v>Stajyer temsilcileri bugünkü toplantıda edepsiz edepsiz konuştular.</v>
      </c>
    </row>
    <row r="12">
      <c r="A12" s="8">
        <v>2.0</v>
      </c>
      <c r="B12" s="3" t="s">
        <v>30</v>
      </c>
      <c r="C12" s="3" t="s">
        <v>23</v>
      </c>
      <c r="D12" s="3" t="s">
        <v>45</v>
      </c>
      <c r="E12" s="3" t="s">
        <v>43</v>
      </c>
      <c r="F12" s="3" t="s">
        <v>37</v>
      </c>
      <c r="G12" s="3" t="s">
        <v>38</v>
      </c>
      <c r="H12" s="3" t="s">
        <v>39</v>
      </c>
      <c r="I12" s="3" t="s">
        <v>39</v>
      </c>
      <c r="J12" s="3" t="s">
        <v>40</v>
      </c>
      <c r="K12" s="5" t="str">
        <f>IFERROR(__xludf.DUMMYFUNCTION("JOIN("" "", D12:J12)"),"Stajyerler temsilcisi bugünkü toplantıda edepsiz edepsiz konuştular.")</f>
        <v>Stajyerler temsilcisi bugünkü toplantıda edepsiz edepsiz konuştular.</v>
      </c>
    </row>
    <row r="13">
      <c r="A13" s="8">
        <v>2.0</v>
      </c>
      <c r="B13" s="3" t="s">
        <v>30</v>
      </c>
      <c r="C13" s="3" t="s">
        <v>28</v>
      </c>
      <c r="D13" s="3" t="s">
        <v>44</v>
      </c>
      <c r="E13" s="3" t="s">
        <v>43</v>
      </c>
      <c r="F13" s="3" t="s">
        <v>37</v>
      </c>
      <c r="G13" s="3" t="s">
        <v>38</v>
      </c>
      <c r="H13" s="3" t="s">
        <v>39</v>
      </c>
      <c r="I13" s="3" t="s">
        <v>39</v>
      </c>
      <c r="J13" s="3" t="s">
        <v>40</v>
      </c>
      <c r="K13" s="5" t="str">
        <f>IFERROR(__xludf.DUMMYFUNCTION("JOIN("" "", D13:J13)"),"Stajyer temsilcisi bugünkü toplantıda edepsiz edepsiz konuştular.")</f>
        <v>Stajyer temsilcisi bugünkü toplantıda edepsiz edepsiz konuştular.</v>
      </c>
    </row>
    <row r="14">
      <c r="A14" s="8">
        <v>3.0</v>
      </c>
      <c r="B14" s="3" t="s">
        <v>11</v>
      </c>
      <c r="C14" s="3" t="s">
        <v>12</v>
      </c>
      <c r="D14" s="3" t="s">
        <v>46</v>
      </c>
      <c r="E14" s="3" t="s">
        <v>47</v>
      </c>
      <c r="F14" s="3" t="s">
        <v>48</v>
      </c>
      <c r="G14" s="3" t="s">
        <v>49</v>
      </c>
      <c r="H14" s="3" t="s">
        <v>50</v>
      </c>
      <c r="I14" s="3" t="s">
        <v>51</v>
      </c>
      <c r="J14" s="3" t="s">
        <v>52</v>
      </c>
      <c r="K14" s="5" t="str">
        <f>IFERROR(__xludf.DUMMYFUNCTION("JOIN("" "", D14:J14)"),"Esnafın yöneticileri seçimden sonra senatoda sertçe tartıştılar.")</f>
        <v>Esnafın yöneticileri seçimden sonra senatoda sertçe tartıştılar.</v>
      </c>
    </row>
    <row r="15">
      <c r="A15" s="8">
        <v>3.0</v>
      </c>
      <c r="B15" s="3" t="s">
        <v>11</v>
      </c>
      <c r="C15" s="3" t="s">
        <v>23</v>
      </c>
      <c r="D15" s="3" t="s">
        <v>54</v>
      </c>
      <c r="E15" s="3" t="s">
        <v>55</v>
      </c>
      <c r="F15" s="3" t="s">
        <v>48</v>
      </c>
      <c r="G15" s="3" t="s">
        <v>49</v>
      </c>
      <c r="H15" s="3" t="s">
        <v>50</v>
      </c>
      <c r="I15" s="3" t="s">
        <v>51</v>
      </c>
      <c r="J15" s="3" t="s">
        <v>52</v>
      </c>
      <c r="K15" s="5" t="str">
        <f>IFERROR(__xludf.DUMMYFUNCTION("JOIN("" "", D15:J15)"),"Esnafların yöneticisi seçimden sonra senatoda sertçe tartıştılar.")</f>
        <v>Esnafların yöneticisi seçimden sonra senatoda sertçe tartıştılar.</v>
      </c>
    </row>
    <row r="16">
      <c r="A16" s="8">
        <v>3.0</v>
      </c>
      <c r="B16" s="3" t="s">
        <v>11</v>
      </c>
      <c r="C16" s="3" t="s">
        <v>28</v>
      </c>
      <c r="D16" s="3" t="s">
        <v>46</v>
      </c>
      <c r="E16" s="3" t="s">
        <v>55</v>
      </c>
      <c r="F16" s="3" t="s">
        <v>48</v>
      </c>
      <c r="G16" s="3" t="s">
        <v>49</v>
      </c>
      <c r="H16" s="3" t="s">
        <v>50</v>
      </c>
      <c r="I16" s="3" t="s">
        <v>51</v>
      </c>
      <c r="J16" s="3" t="s">
        <v>52</v>
      </c>
      <c r="K16" s="5" t="str">
        <f>IFERROR(__xludf.DUMMYFUNCTION("JOIN("" "", D16:J16)"),"Esnafın yöneticisi seçimden sonra senatoda sertçe tartıştılar.")</f>
        <v>Esnafın yöneticisi seçimden sonra senatoda sertçe tartıştılar.</v>
      </c>
    </row>
    <row r="17">
      <c r="A17" s="8">
        <v>3.0</v>
      </c>
      <c r="B17" s="3" t="s">
        <v>30</v>
      </c>
      <c r="C17" s="3" t="s">
        <v>12</v>
      </c>
      <c r="D17" s="3" t="s">
        <v>58</v>
      </c>
      <c r="E17" s="3" t="s">
        <v>47</v>
      </c>
      <c r="F17" s="3" t="s">
        <v>48</v>
      </c>
      <c r="G17" s="3" t="s">
        <v>49</v>
      </c>
      <c r="H17" s="3" t="s">
        <v>50</v>
      </c>
      <c r="I17" s="3" t="s">
        <v>51</v>
      </c>
      <c r="J17" s="3" t="s">
        <v>52</v>
      </c>
      <c r="K17" s="5" t="str">
        <f>IFERROR(__xludf.DUMMYFUNCTION("JOIN("" "", D17:J17)"),"Esnaf yöneticileri seçimden sonra senatoda sertçe tartıştılar.")</f>
        <v>Esnaf yöneticileri seçimden sonra senatoda sertçe tartıştılar.</v>
      </c>
    </row>
    <row r="18">
      <c r="A18" s="8">
        <v>3.0</v>
      </c>
      <c r="B18" s="3" t="s">
        <v>30</v>
      </c>
      <c r="C18" s="3" t="s">
        <v>23</v>
      </c>
      <c r="D18" s="3" t="s">
        <v>59</v>
      </c>
      <c r="E18" s="3" t="s">
        <v>55</v>
      </c>
      <c r="F18" s="3" t="s">
        <v>48</v>
      </c>
      <c r="G18" s="3" t="s">
        <v>49</v>
      </c>
      <c r="H18" s="3" t="s">
        <v>50</v>
      </c>
      <c r="I18" s="3" t="s">
        <v>51</v>
      </c>
      <c r="J18" s="3" t="s">
        <v>52</v>
      </c>
      <c r="K18" s="5" t="str">
        <f>IFERROR(__xludf.DUMMYFUNCTION("JOIN("" "", D18:J18)"),"Esnaflar yöneticisi seçimden sonra senatoda sertçe tartıştılar.")</f>
        <v>Esnaflar yöneticisi seçimden sonra senatoda sertçe tartıştılar.</v>
      </c>
    </row>
    <row r="19">
      <c r="A19" s="8">
        <v>3.0</v>
      </c>
      <c r="B19" s="3" t="s">
        <v>30</v>
      </c>
      <c r="C19" s="3" t="s">
        <v>28</v>
      </c>
      <c r="D19" s="3" t="s">
        <v>58</v>
      </c>
      <c r="E19" s="3" t="s">
        <v>55</v>
      </c>
      <c r="F19" s="3" t="s">
        <v>48</v>
      </c>
      <c r="G19" s="3" t="s">
        <v>49</v>
      </c>
      <c r="H19" s="3" t="s">
        <v>50</v>
      </c>
      <c r="I19" s="3" t="s">
        <v>51</v>
      </c>
      <c r="J19" s="3" t="s">
        <v>52</v>
      </c>
      <c r="K19" s="5" t="str">
        <f>IFERROR(__xludf.DUMMYFUNCTION("JOIN("" "", D19:J19)"),"Esnaf yöneticisi seçimden sonra senatoda sertçe tartıştılar.")</f>
        <v>Esnaf yöneticisi seçimden sonra senatoda sertçe tartıştılar.</v>
      </c>
    </row>
    <row r="20">
      <c r="A20" s="8">
        <v>4.0</v>
      </c>
      <c r="B20" s="3" t="s">
        <v>11</v>
      </c>
      <c r="C20" s="3" t="s">
        <v>12</v>
      </c>
      <c r="D20" s="3" t="s">
        <v>60</v>
      </c>
      <c r="E20" s="3" t="s">
        <v>61</v>
      </c>
      <c r="F20" s="3" t="s">
        <v>62</v>
      </c>
      <c r="G20" s="3" t="s">
        <v>63</v>
      </c>
      <c r="H20" s="3" t="s">
        <v>64</v>
      </c>
      <c r="I20" s="3" t="s">
        <v>65</v>
      </c>
      <c r="J20" s="3" t="s">
        <v>66</v>
      </c>
      <c r="K20" s="5" t="str">
        <f>IFERROR(__xludf.DUMMYFUNCTION("JOIN("" "", D20:J20)"),"Mültecinin avukatları duruşma için uzun süre hazırlandılar.")</f>
        <v>Mültecinin avukatları duruşma için uzun süre hazırlandılar.</v>
      </c>
    </row>
    <row r="21">
      <c r="A21" s="8">
        <v>4.0</v>
      </c>
      <c r="B21" s="3" t="s">
        <v>11</v>
      </c>
      <c r="C21" s="3" t="s">
        <v>23</v>
      </c>
      <c r="D21" s="3" t="s">
        <v>67</v>
      </c>
      <c r="E21" s="3" t="s">
        <v>68</v>
      </c>
      <c r="F21" s="3" t="s">
        <v>62</v>
      </c>
      <c r="G21" s="3" t="s">
        <v>63</v>
      </c>
      <c r="H21" s="3" t="s">
        <v>64</v>
      </c>
      <c r="I21" s="3" t="s">
        <v>65</v>
      </c>
      <c r="J21" s="3" t="s">
        <v>66</v>
      </c>
      <c r="K21" s="5" t="str">
        <f>IFERROR(__xludf.DUMMYFUNCTION("JOIN("" "", D21:J21)"),"Mültecilerin avukatı duruşma için uzun süre hazırlandılar.")</f>
        <v>Mültecilerin avukatı duruşma için uzun süre hazırlandılar.</v>
      </c>
    </row>
    <row r="22">
      <c r="A22" s="8">
        <v>4.0</v>
      </c>
      <c r="B22" s="3" t="s">
        <v>11</v>
      </c>
      <c r="C22" s="3" t="s">
        <v>28</v>
      </c>
      <c r="D22" s="3" t="s">
        <v>60</v>
      </c>
      <c r="E22" s="3" t="s">
        <v>68</v>
      </c>
      <c r="F22" s="3" t="s">
        <v>62</v>
      </c>
      <c r="G22" s="3" t="s">
        <v>63</v>
      </c>
      <c r="H22" s="3" t="s">
        <v>64</v>
      </c>
      <c r="I22" s="3" t="s">
        <v>65</v>
      </c>
      <c r="J22" s="3" t="s">
        <v>66</v>
      </c>
      <c r="K22" s="5" t="str">
        <f>IFERROR(__xludf.DUMMYFUNCTION("JOIN("" "", D22:J22)"),"Mültecinin avukatı duruşma için uzun süre hazırlandılar.")</f>
        <v>Mültecinin avukatı duruşma için uzun süre hazırlandılar.</v>
      </c>
    </row>
    <row r="23">
      <c r="A23" s="8">
        <v>4.0</v>
      </c>
      <c r="B23" s="3" t="s">
        <v>30</v>
      </c>
      <c r="C23" s="3" t="s">
        <v>12</v>
      </c>
      <c r="D23" s="3" t="s">
        <v>69</v>
      </c>
      <c r="E23" s="3" t="s">
        <v>61</v>
      </c>
      <c r="F23" s="3" t="s">
        <v>62</v>
      </c>
      <c r="G23" s="3" t="s">
        <v>63</v>
      </c>
      <c r="H23" s="3" t="s">
        <v>64</v>
      </c>
      <c r="I23" s="3" t="s">
        <v>65</v>
      </c>
      <c r="J23" s="3" t="s">
        <v>66</v>
      </c>
      <c r="K23" s="5" t="str">
        <f>IFERROR(__xludf.DUMMYFUNCTION("JOIN("" "", D23:J23)"),"Mülteci avukatları duruşma için uzun süre hazırlandılar.")</f>
        <v>Mülteci avukatları duruşma için uzun süre hazırlandılar.</v>
      </c>
    </row>
    <row r="24">
      <c r="A24" s="8">
        <v>4.0</v>
      </c>
      <c r="B24" s="3" t="s">
        <v>30</v>
      </c>
      <c r="C24" s="3" t="s">
        <v>23</v>
      </c>
      <c r="D24" s="3" t="s">
        <v>70</v>
      </c>
      <c r="E24" s="3" t="s">
        <v>68</v>
      </c>
      <c r="F24" s="3" t="s">
        <v>62</v>
      </c>
      <c r="G24" s="3" t="s">
        <v>63</v>
      </c>
      <c r="H24" s="3" t="s">
        <v>64</v>
      </c>
      <c r="I24" s="3" t="s">
        <v>65</v>
      </c>
      <c r="J24" s="3" t="s">
        <v>66</v>
      </c>
      <c r="K24" s="5" t="str">
        <f>IFERROR(__xludf.DUMMYFUNCTION("JOIN("" "", D24:J24)"),"Mülteciler avukatı duruşma için uzun süre hazırlandılar.")</f>
        <v>Mülteciler avukatı duruşma için uzun süre hazırlandılar.</v>
      </c>
    </row>
    <row r="25">
      <c r="A25" s="8">
        <v>4.0</v>
      </c>
      <c r="B25" s="3" t="s">
        <v>30</v>
      </c>
      <c r="C25" s="3" t="s">
        <v>28</v>
      </c>
      <c r="D25" s="3" t="s">
        <v>69</v>
      </c>
      <c r="E25" s="3" t="s">
        <v>68</v>
      </c>
      <c r="F25" s="3" t="s">
        <v>62</v>
      </c>
      <c r="G25" s="3" t="s">
        <v>63</v>
      </c>
      <c r="H25" s="3" t="s">
        <v>64</v>
      </c>
      <c r="I25" s="3" t="s">
        <v>65</v>
      </c>
      <c r="J25" s="3" t="s">
        <v>66</v>
      </c>
      <c r="K25" s="5" t="str">
        <f>IFERROR(__xludf.DUMMYFUNCTION("JOIN("" "", D25:J25)"),"Mülteci avukatı duruşma için uzun süre hazırlandılar.")</f>
        <v>Mülteci avukatı duruşma için uzun süre hazırlandılar.</v>
      </c>
    </row>
    <row r="26">
      <c r="A26" s="8">
        <v>5.0</v>
      </c>
      <c r="B26" s="3" t="s">
        <v>11</v>
      </c>
      <c r="C26" s="3" t="s">
        <v>12</v>
      </c>
      <c r="D26" s="3" t="s">
        <v>71</v>
      </c>
      <c r="E26" s="3" t="s">
        <v>72</v>
      </c>
      <c r="F26" s="3" t="s">
        <v>73</v>
      </c>
      <c r="G26" s="3" t="s">
        <v>63</v>
      </c>
      <c r="H26" s="3" t="s">
        <v>74</v>
      </c>
      <c r="I26" s="3" t="s">
        <v>75</v>
      </c>
      <c r="J26" s="3" t="s">
        <v>76</v>
      </c>
      <c r="K26" s="5" t="str">
        <f>IFERROR(__xludf.DUMMYFUNCTION("JOIN("" "", D26:J26)"),"Padişahın tarihçileri yolculuk için yavaşça trene bindiler.")</f>
        <v>Padişahın tarihçileri yolculuk için yavaşça trene bindiler.</v>
      </c>
    </row>
    <row r="27">
      <c r="A27" s="8">
        <v>5.0</v>
      </c>
      <c r="B27" s="3" t="s">
        <v>11</v>
      </c>
      <c r="C27" s="3" t="s">
        <v>23</v>
      </c>
      <c r="D27" s="3" t="s">
        <v>77</v>
      </c>
      <c r="E27" s="3" t="s">
        <v>78</v>
      </c>
      <c r="F27" s="3" t="s">
        <v>73</v>
      </c>
      <c r="G27" s="3" t="s">
        <v>63</v>
      </c>
      <c r="H27" s="3" t="s">
        <v>74</v>
      </c>
      <c r="I27" s="3" t="s">
        <v>75</v>
      </c>
      <c r="J27" s="3" t="s">
        <v>76</v>
      </c>
      <c r="K27" s="5" t="str">
        <f>IFERROR(__xludf.DUMMYFUNCTION("JOIN("" "", D27:J27)"),"Padişahların tarihçisi yolculuk için yavaşça trene bindiler.")</f>
        <v>Padişahların tarihçisi yolculuk için yavaşça trene bindiler.</v>
      </c>
    </row>
    <row r="28">
      <c r="A28" s="8">
        <v>5.0</v>
      </c>
      <c r="B28" s="3" t="s">
        <v>11</v>
      </c>
      <c r="C28" s="3" t="s">
        <v>28</v>
      </c>
      <c r="D28" s="3" t="s">
        <v>71</v>
      </c>
      <c r="E28" s="3" t="s">
        <v>78</v>
      </c>
      <c r="F28" s="3" t="s">
        <v>73</v>
      </c>
      <c r="G28" s="3" t="s">
        <v>63</v>
      </c>
      <c r="H28" s="3" t="s">
        <v>74</v>
      </c>
      <c r="I28" s="3" t="s">
        <v>75</v>
      </c>
      <c r="J28" s="3" t="s">
        <v>76</v>
      </c>
      <c r="K28" s="5" t="str">
        <f>IFERROR(__xludf.DUMMYFUNCTION("JOIN("" "", D28:J28)"),"Padişahın tarihçisi yolculuk için yavaşça trene bindiler.")</f>
        <v>Padişahın tarihçisi yolculuk için yavaşça trene bindiler.</v>
      </c>
    </row>
    <row r="29">
      <c r="A29" s="8">
        <v>5.0</v>
      </c>
      <c r="B29" s="3" t="s">
        <v>30</v>
      </c>
      <c r="C29" s="3" t="s">
        <v>12</v>
      </c>
      <c r="D29" s="3" t="s">
        <v>79</v>
      </c>
      <c r="E29" s="3" t="s">
        <v>72</v>
      </c>
      <c r="F29" s="3" t="s">
        <v>73</v>
      </c>
      <c r="G29" s="3" t="s">
        <v>63</v>
      </c>
      <c r="H29" s="3" t="s">
        <v>74</v>
      </c>
      <c r="I29" s="3" t="s">
        <v>75</v>
      </c>
      <c r="J29" s="3" t="s">
        <v>76</v>
      </c>
      <c r="K29" s="5" t="str">
        <f>IFERROR(__xludf.DUMMYFUNCTION("JOIN("" "", D29:J29)"),"Padişah tarihçileri yolculuk için yavaşça trene bindiler.")</f>
        <v>Padişah tarihçileri yolculuk için yavaşça trene bindiler.</v>
      </c>
    </row>
    <row r="30">
      <c r="A30" s="8">
        <v>5.0</v>
      </c>
      <c r="B30" s="3" t="s">
        <v>30</v>
      </c>
      <c r="C30" s="3" t="s">
        <v>23</v>
      </c>
      <c r="D30" s="3" t="s">
        <v>80</v>
      </c>
      <c r="E30" s="3" t="s">
        <v>78</v>
      </c>
      <c r="F30" s="3" t="s">
        <v>73</v>
      </c>
      <c r="G30" s="3" t="s">
        <v>63</v>
      </c>
      <c r="H30" s="3" t="s">
        <v>74</v>
      </c>
      <c r="I30" s="3" t="s">
        <v>75</v>
      </c>
      <c r="J30" s="3" t="s">
        <v>76</v>
      </c>
      <c r="K30" s="5" t="str">
        <f>IFERROR(__xludf.DUMMYFUNCTION("JOIN("" "", D30:J30)"),"Padişahlar tarihçisi yolculuk için yavaşça trene bindiler.")</f>
        <v>Padişahlar tarihçisi yolculuk için yavaşça trene bindiler.</v>
      </c>
    </row>
    <row r="31">
      <c r="A31" s="8">
        <v>5.0</v>
      </c>
      <c r="B31" s="3" t="s">
        <v>30</v>
      </c>
      <c r="C31" s="3" t="s">
        <v>28</v>
      </c>
      <c r="D31" s="3" t="s">
        <v>79</v>
      </c>
      <c r="E31" s="3" t="s">
        <v>78</v>
      </c>
      <c r="F31" s="3" t="s">
        <v>73</v>
      </c>
      <c r="G31" s="3" t="s">
        <v>63</v>
      </c>
      <c r="H31" s="3" t="s">
        <v>74</v>
      </c>
      <c r="I31" s="3" t="s">
        <v>75</v>
      </c>
      <c r="J31" s="3" t="s">
        <v>76</v>
      </c>
      <c r="K31" s="5" t="str">
        <f>IFERROR(__xludf.DUMMYFUNCTION("JOIN("" "", D31:J31)"),"Padişah tarihçisi yolculuk için yavaşça trene bindiler.")</f>
        <v>Padişah tarihçisi yolculuk için yavaşça trene bindiler.</v>
      </c>
    </row>
    <row r="32">
      <c r="A32" s="8">
        <v>6.0</v>
      </c>
      <c r="B32" s="3" t="s">
        <v>11</v>
      </c>
      <c r="C32" s="3" t="s">
        <v>12</v>
      </c>
      <c r="D32" s="3" t="s">
        <v>81</v>
      </c>
      <c r="E32" s="3" t="s">
        <v>82</v>
      </c>
      <c r="F32" s="3" t="s">
        <v>83</v>
      </c>
      <c r="G32" s="3" t="s">
        <v>84</v>
      </c>
      <c r="H32" s="3" t="s">
        <v>85</v>
      </c>
      <c r="I32" s="3" t="s">
        <v>86</v>
      </c>
      <c r="J32" s="3" t="s">
        <v>87</v>
      </c>
      <c r="K32" s="5" t="str">
        <f>IFERROR(__xludf.DUMMYFUNCTION("JOIN("" "", D32:J32)"),"Marangozun ustaları çoktan  yeni semtteki atölyeye ulaşmışlar.")</f>
        <v>Marangozun ustaları çoktan  yeni semtteki atölyeye ulaşmışlar.</v>
      </c>
    </row>
    <row r="33">
      <c r="A33" s="8">
        <v>6.0</v>
      </c>
      <c r="B33" s="3" t="s">
        <v>11</v>
      </c>
      <c r="C33" s="3" t="s">
        <v>23</v>
      </c>
      <c r="D33" s="3" t="s">
        <v>88</v>
      </c>
      <c r="E33" s="3" t="s">
        <v>89</v>
      </c>
      <c r="F33" s="3" t="s">
        <v>83</v>
      </c>
      <c r="G33" s="3" t="s">
        <v>84</v>
      </c>
      <c r="H33" s="3" t="s">
        <v>85</v>
      </c>
      <c r="I33" s="3" t="s">
        <v>86</v>
      </c>
      <c r="J33" s="3" t="s">
        <v>87</v>
      </c>
      <c r="K33" s="5" t="str">
        <f>IFERROR(__xludf.DUMMYFUNCTION("JOIN("" "", D33:J33)"),"Marangozların ustası çoktan  yeni semtteki atölyeye ulaşmışlar.")</f>
        <v>Marangozların ustası çoktan  yeni semtteki atölyeye ulaşmışlar.</v>
      </c>
    </row>
    <row r="34">
      <c r="A34" s="8">
        <v>6.0</v>
      </c>
      <c r="B34" s="3" t="s">
        <v>11</v>
      </c>
      <c r="C34" s="3" t="s">
        <v>28</v>
      </c>
      <c r="D34" s="3" t="s">
        <v>81</v>
      </c>
      <c r="E34" s="3" t="s">
        <v>89</v>
      </c>
      <c r="F34" s="3" t="s">
        <v>83</v>
      </c>
      <c r="G34" s="3" t="s">
        <v>84</v>
      </c>
      <c r="H34" s="3" t="s">
        <v>85</v>
      </c>
      <c r="I34" s="3" t="s">
        <v>86</v>
      </c>
      <c r="J34" s="3" t="s">
        <v>87</v>
      </c>
      <c r="K34" s="5" t="str">
        <f>IFERROR(__xludf.DUMMYFUNCTION("JOIN("" "", D34:J34)"),"Marangozun ustası çoktan  yeni semtteki atölyeye ulaşmışlar.")</f>
        <v>Marangozun ustası çoktan  yeni semtteki atölyeye ulaşmışlar.</v>
      </c>
    </row>
    <row r="35">
      <c r="A35" s="8">
        <v>6.0</v>
      </c>
      <c r="B35" s="3" t="s">
        <v>30</v>
      </c>
      <c r="C35" s="3" t="s">
        <v>12</v>
      </c>
      <c r="D35" s="3" t="s">
        <v>99</v>
      </c>
      <c r="E35" s="3" t="s">
        <v>82</v>
      </c>
      <c r="F35" s="3" t="s">
        <v>83</v>
      </c>
      <c r="G35" s="3" t="s">
        <v>84</v>
      </c>
      <c r="H35" s="3" t="s">
        <v>85</v>
      </c>
      <c r="I35" s="3" t="s">
        <v>86</v>
      </c>
      <c r="J35" s="3" t="s">
        <v>87</v>
      </c>
      <c r="K35" s="5" t="str">
        <f>IFERROR(__xludf.DUMMYFUNCTION("JOIN("" "", D35:J35)"),"Marangoz ustaları çoktan  yeni semtteki atölyeye ulaşmışlar.")</f>
        <v>Marangoz ustaları çoktan  yeni semtteki atölyeye ulaşmışlar.</v>
      </c>
    </row>
    <row r="36">
      <c r="A36" s="8">
        <v>6.0</v>
      </c>
      <c r="B36" s="3" t="s">
        <v>30</v>
      </c>
      <c r="C36" s="3" t="s">
        <v>23</v>
      </c>
      <c r="D36" s="3" t="s">
        <v>104</v>
      </c>
      <c r="E36" s="3" t="s">
        <v>89</v>
      </c>
      <c r="F36" s="3" t="s">
        <v>83</v>
      </c>
      <c r="G36" s="3" t="s">
        <v>84</v>
      </c>
      <c r="H36" s="3" t="s">
        <v>85</v>
      </c>
      <c r="I36" s="3" t="s">
        <v>86</v>
      </c>
      <c r="J36" s="3" t="s">
        <v>87</v>
      </c>
      <c r="K36" s="5" t="str">
        <f>IFERROR(__xludf.DUMMYFUNCTION("JOIN("" "", D36:J36)"),"Marangozlar ustası çoktan  yeni semtteki atölyeye ulaşmışlar.")</f>
        <v>Marangozlar ustası çoktan  yeni semtteki atölyeye ulaşmışlar.</v>
      </c>
    </row>
    <row r="37">
      <c r="A37" s="8">
        <v>6.0</v>
      </c>
      <c r="B37" s="3" t="s">
        <v>30</v>
      </c>
      <c r="C37" s="3" t="s">
        <v>28</v>
      </c>
      <c r="D37" s="3" t="s">
        <v>99</v>
      </c>
      <c r="E37" s="3" t="s">
        <v>89</v>
      </c>
      <c r="F37" s="3" t="s">
        <v>83</v>
      </c>
      <c r="G37" s="3" t="s">
        <v>84</v>
      </c>
      <c r="H37" s="3" t="s">
        <v>85</v>
      </c>
      <c r="I37" s="3" t="s">
        <v>86</v>
      </c>
      <c r="J37" s="3" t="s">
        <v>87</v>
      </c>
      <c r="K37" s="5" t="str">
        <f>IFERROR(__xludf.DUMMYFUNCTION("JOIN("" "", D37:J37)"),"Marangoz ustası çoktan  yeni semtteki atölyeye ulaşmışlar.")</f>
        <v>Marangoz ustası çoktan  yeni semtteki atölyeye ulaşmışlar.</v>
      </c>
    </row>
    <row r="38">
      <c r="A38" s="8">
        <v>7.0</v>
      </c>
      <c r="B38" s="3" t="s">
        <v>11</v>
      </c>
      <c r="C38" s="3" t="s">
        <v>12</v>
      </c>
      <c r="D38" s="3" t="s">
        <v>109</v>
      </c>
      <c r="E38" s="3" t="s">
        <v>110</v>
      </c>
      <c r="F38" s="3" t="s">
        <v>111</v>
      </c>
      <c r="G38" s="3" t="s">
        <v>112</v>
      </c>
      <c r="H38" s="3" t="s">
        <v>113</v>
      </c>
      <c r="I38" s="3" t="s">
        <v>114</v>
      </c>
      <c r="J38" s="3" t="s">
        <v>115</v>
      </c>
      <c r="K38" s="5" t="str">
        <f>IFERROR(__xludf.DUMMYFUNCTION("JOIN("" "", D38:J38)"),"Bakanın sekreterleri utanç içinde koridordaki kapıya yöneldiler.")</f>
        <v>Bakanın sekreterleri utanç içinde koridordaki kapıya yöneldiler.</v>
      </c>
    </row>
    <row r="39">
      <c r="A39" s="8">
        <v>7.0</v>
      </c>
      <c r="B39" s="3" t="s">
        <v>11</v>
      </c>
      <c r="C39" s="3" t="s">
        <v>23</v>
      </c>
      <c r="D39" s="3" t="s">
        <v>117</v>
      </c>
      <c r="E39" s="3" t="s">
        <v>118</v>
      </c>
      <c r="F39" s="3" t="s">
        <v>111</v>
      </c>
      <c r="G39" s="3" t="s">
        <v>112</v>
      </c>
      <c r="H39" s="3" t="s">
        <v>113</v>
      </c>
      <c r="I39" s="3" t="s">
        <v>114</v>
      </c>
      <c r="J39" s="3" t="s">
        <v>115</v>
      </c>
      <c r="K39" s="5" t="str">
        <f>IFERROR(__xludf.DUMMYFUNCTION("JOIN("" "", D39:J39)"),"Bakanların sekreteri utanç içinde koridordaki kapıya yöneldiler.")</f>
        <v>Bakanların sekreteri utanç içinde koridordaki kapıya yöneldiler.</v>
      </c>
    </row>
    <row r="40">
      <c r="A40" s="8">
        <v>7.0</v>
      </c>
      <c r="B40" s="3" t="s">
        <v>11</v>
      </c>
      <c r="C40" s="3" t="s">
        <v>28</v>
      </c>
      <c r="D40" s="3" t="s">
        <v>109</v>
      </c>
      <c r="E40" s="3" t="s">
        <v>118</v>
      </c>
      <c r="F40" s="3" t="s">
        <v>111</v>
      </c>
      <c r="G40" s="3" t="s">
        <v>112</v>
      </c>
      <c r="H40" s="3" t="s">
        <v>113</v>
      </c>
      <c r="I40" s="3" t="s">
        <v>114</v>
      </c>
      <c r="J40" s="3" t="s">
        <v>115</v>
      </c>
      <c r="K40" s="5" t="str">
        <f>IFERROR(__xludf.DUMMYFUNCTION("JOIN("" "", D40:J40)"),"Bakanın sekreteri utanç içinde koridordaki kapıya yöneldiler.")</f>
        <v>Bakanın sekreteri utanç içinde koridordaki kapıya yöneldiler.</v>
      </c>
    </row>
    <row r="41">
      <c r="A41" s="8">
        <v>7.0</v>
      </c>
      <c r="B41" s="3" t="s">
        <v>30</v>
      </c>
      <c r="C41" s="3" t="s">
        <v>12</v>
      </c>
      <c r="D41" s="3" t="s">
        <v>119</v>
      </c>
      <c r="E41" s="3" t="s">
        <v>110</v>
      </c>
      <c r="F41" s="3" t="s">
        <v>111</v>
      </c>
      <c r="G41" s="3" t="s">
        <v>112</v>
      </c>
      <c r="H41" s="3" t="s">
        <v>113</v>
      </c>
      <c r="I41" s="3" t="s">
        <v>114</v>
      </c>
      <c r="J41" s="3" t="s">
        <v>115</v>
      </c>
      <c r="K41" s="5" t="str">
        <f>IFERROR(__xludf.DUMMYFUNCTION("JOIN("" "", D41:J41)"),"Bakan sekreterleri utanç içinde koridordaki kapıya yöneldiler.")</f>
        <v>Bakan sekreterleri utanç içinde koridordaki kapıya yöneldiler.</v>
      </c>
    </row>
    <row r="42">
      <c r="A42" s="8">
        <v>7.0</v>
      </c>
      <c r="B42" s="3" t="s">
        <v>30</v>
      </c>
      <c r="C42" s="3" t="s">
        <v>23</v>
      </c>
      <c r="D42" s="3" t="s">
        <v>120</v>
      </c>
      <c r="E42" s="3" t="s">
        <v>118</v>
      </c>
      <c r="F42" s="3" t="s">
        <v>111</v>
      </c>
      <c r="G42" s="3" t="s">
        <v>112</v>
      </c>
      <c r="H42" s="3" t="s">
        <v>113</v>
      </c>
      <c r="I42" s="3" t="s">
        <v>114</v>
      </c>
      <c r="J42" s="3" t="s">
        <v>115</v>
      </c>
      <c r="K42" s="5" t="str">
        <f>IFERROR(__xludf.DUMMYFUNCTION("JOIN("" "", D42:J42)"),"Bakanlar sekreteri utanç içinde koridordaki kapıya yöneldiler.")</f>
        <v>Bakanlar sekreteri utanç içinde koridordaki kapıya yöneldiler.</v>
      </c>
    </row>
    <row r="43">
      <c r="A43" s="8">
        <v>7.0</v>
      </c>
      <c r="B43" s="3" t="s">
        <v>30</v>
      </c>
      <c r="C43" s="3" t="s">
        <v>28</v>
      </c>
      <c r="D43" s="3" t="s">
        <v>119</v>
      </c>
      <c r="E43" s="3" t="s">
        <v>118</v>
      </c>
      <c r="F43" s="3" t="s">
        <v>111</v>
      </c>
      <c r="G43" s="3" t="s">
        <v>112</v>
      </c>
      <c r="H43" s="3" t="s">
        <v>113</v>
      </c>
      <c r="I43" s="3" t="s">
        <v>114</v>
      </c>
      <c r="J43" s="3" t="s">
        <v>115</v>
      </c>
      <c r="K43" s="5" t="str">
        <f>IFERROR(__xludf.DUMMYFUNCTION("JOIN("" "", D43:J43)"),"Bakan sekreteri utanç içinde koridordaki kapıya yöneldiler.")</f>
        <v>Bakan sekreteri utanç içinde koridordaki kapıya yöneldiler.</v>
      </c>
    </row>
    <row r="44">
      <c r="A44" s="8">
        <v>8.0</v>
      </c>
      <c r="B44" s="3" t="s">
        <v>11</v>
      </c>
      <c r="C44" s="3" t="s">
        <v>12</v>
      </c>
      <c r="D44" s="3" t="s">
        <v>130</v>
      </c>
      <c r="E44" s="3" t="s">
        <v>131</v>
      </c>
      <c r="F44" s="3" t="s">
        <v>132</v>
      </c>
      <c r="G44" s="3" t="s">
        <v>133</v>
      </c>
      <c r="H44" s="3" t="s">
        <v>134</v>
      </c>
      <c r="I44" s="3" t="s">
        <v>135</v>
      </c>
      <c r="J44" s="3" t="s">
        <v>136</v>
      </c>
      <c r="K44" s="5" t="str">
        <f>IFERROR(__xludf.DUMMYFUNCTION("JOIN("" "", D44:J44)"),"Oyuncunun koçları ertesi gün provaya geç geldiler.")</f>
        <v>Oyuncunun koçları ertesi gün provaya geç geldiler.</v>
      </c>
    </row>
    <row r="45">
      <c r="A45" s="8">
        <v>8.0</v>
      </c>
      <c r="B45" s="3" t="s">
        <v>11</v>
      </c>
      <c r="C45" s="3" t="s">
        <v>23</v>
      </c>
      <c r="D45" s="3" t="s">
        <v>140</v>
      </c>
      <c r="E45" s="3" t="s">
        <v>141</v>
      </c>
      <c r="F45" s="3" t="s">
        <v>132</v>
      </c>
      <c r="G45" s="3" t="s">
        <v>133</v>
      </c>
      <c r="H45" s="3" t="s">
        <v>134</v>
      </c>
      <c r="I45" s="3" t="s">
        <v>135</v>
      </c>
      <c r="J45" s="3" t="s">
        <v>136</v>
      </c>
      <c r="K45" s="5" t="str">
        <f>IFERROR(__xludf.DUMMYFUNCTION("JOIN("" "", D45:J45)"),"Oyuncuların koçu ertesi gün provaya geç geldiler.")</f>
        <v>Oyuncuların koçu ertesi gün provaya geç geldiler.</v>
      </c>
    </row>
    <row r="46">
      <c r="A46" s="8">
        <v>8.0</v>
      </c>
      <c r="B46" s="3" t="s">
        <v>11</v>
      </c>
      <c r="C46" s="3" t="s">
        <v>28</v>
      </c>
      <c r="D46" s="3" t="s">
        <v>130</v>
      </c>
      <c r="E46" s="3" t="s">
        <v>141</v>
      </c>
      <c r="F46" s="3" t="s">
        <v>132</v>
      </c>
      <c r="G46" s="3" t="s">
        <v>133</v>
      </c>
      <c r="H46" s="3" t="s">
        <v>134</v>
      </c>
      <c r="I46" s="3" t="s">
        <v>135</v>
      </c>
      <c r="J46" s="3" t="s">
        <v>136</v>
      </c>
      <c r="K46" s="5" t="str">
        <f>IFERROR(__xludf.DUMMYFUNCTION("JOIN("" "", D46:J46)"),"Oyuncunun koçu ertesi gün provaya geç geldiler.")</f>
        <v>Oyuncunun koçu ertesi gün provaya geç geldiler.</v>
      </c>
    </row>
    <row r="47">
      <c r="A47" s="8">
        <v>8.0</v>
      </c>
      <c r="B47" s="3" t="s">
        <v>30</v>
      </c>
      <c r="C47" s="3" t="s">
        <v>12</v>
      </c>
      <c r="D47" s="3" t="s">
        <v>148</v>
      </c>
      <c r="E47" s="3" t="s">
        <v>131</v>
      </c>
      <c r="F47" s="3" t="s">
        <v>132</v>
      </c>
      <c r="G47" s="3" t="s">
        <v>133</v>
      </c>
      <c r="H47" s="3" t="s">
        <v>134</v>
      </c>
      <c r="I47" s="3" t="s">
        <v>135</v>
      </c>
      <c r="J47" s="3" t="s">
        <v>136</v>
      </c>
      <c r="K47" s="5" t="str">
        <f>IFERROR(__xludf.DUMMYFUNCTION("JOIN("" "", D47:J47)"),"Oyuncu koçları ertesi gün provaya geç geldiler.")</f>
        <v>Oyuncu koçları ertesi gün provaya geç geldiler.</v>
      </c>
    </row>
    <row r="48">
      <c r="A48" s="8">
        <v>8.0</v>
      </c>
      <c r="B48" s="3" t="s">
        <v>30</v>
      </c>
      <c r="C48" s="3" t="s">
        <v>23</v>
      </c>
      <c r="D48" s="3" t="s">
        <v>152</v>
      </c>
      <c r="E48" s="3" t="s">
        <v>141</v>
      </c>
      <c r="F48" s="3" t="s">
        <v>132</v>
      </c>
      <c r="G48" s="3" t="s">
        <v>133</v>
      </c>
      <c r="H48" s="3" t="s">
        <v>134</v>
      </c>
      <c r="I48" s="3" t="s">
        <v>135</v>
      </c>
      <c r="J48" s="3" t="s">
        <v>136</v>
      </c>
      <c r="K48" s="5" t="str">
        <f>IFERROR(__xludf.DUMMYFUNCTION("JOIN("" "", D48:J48)"),"Oyuncular koçu ertesi gün provaya geç geldiler.")</f>
        <v>Oyuncular koçu ertesi gün provaya geç geldiler.</v>
      </c>
    </row>
    <row r="49">
      <c r="A49" s="9">
        <v>8.0</v>
      </c>
      <c r="B49" s="3" t="s">
        <v>30</v>
      </c>
      <c r="C49" s="3" t="s">
        <v>28</v>
      </c>
      <c r="D49" s="3" t="s">
        <v>148</v>
      </c>
      <c r="E49" s="3" t="s">
        <v>141</v>
      </c>
      <c r="F49" s="3" t="s">
        <v>132</v>
      </c>
      <c r="G49" s="3" t="s">
        <v>133</v>
      </c>
      <c r="H49" s="3" t="s">
        <v>134</v>
      </c>
      <c r="I49" s="3" t="s">
        <v>135</v>
      </c>
      <c r="J49" s="3" t="s">
        <v>136</v>
      </c>
      <c r="K49" s="5" t="str">
        <f>IFERROR(__xludf.DUMMYFUNCTION("JOIN("" "", D49:J49)"),"Oyuncu koçu ertesi gün provaya geç geldiler.")</f>
        <v>Oyuncu koçu ertesi gün provaya geç geldiler.</v>
      </c>
    </row>
    <row r="50">
      <c r="A50" s="8">
        <v>9.0</v>
      </c>
      <c r="B50" s="3" t="s">
        <v>11</v>
      </c>
      <c r="C50" s="3" t="s">
        <v>12</v>
      </c>
      <c r="D50" s="3" t="s">
        <v>154</v>
      </c>
      <c r="E50" s="3" t="s">
        <v>155</v>
      </c>
      <c r="F50" s="3" t="s">
        <v>156</v>
      </c>
      <c r="G50" s="3" t="s">
        <v>157</v>
      </c>
      <c r="H50" s="3" t="s">
        <v>158</v>
      </c>
      <c r="I50" s="3" t="s">
        <v>159</v>
      </c>
      <c r="J50" s="3" t="s">
        <v>160</v>
      </c>
      <c r="K50" s="5" t="str">
        <f>IFERROR(__xludf.DUMMYFUNCTION("JOIN("" "", D50:J50)"),"Yatırımcının danışmanları dönem sonundaki toplantıdan öfkeyle çıktılar.")</f>
        <v>Yatırımcının danışmanları dönem sonundaki toplantıdan öfkeyle çıktılar.</v>
      </c>
    </row>
    <row r="51">
      <c r="A51" s="8">
        <v>9.0</v>
      </c>
      <c r="B51" s="3" t="s">
        <v>11</v>
      </c>
      <c r="C51" s="3" t="s">
        <v>23</v>
      </c>
      <c r="D51" s="3" t="s">
        <v>161</v>
      </c>
      <c r="E51" s="3" t="s">
        <v>162</v>
      </c>
      <c r="F51" s="3" t="s">
        <v>156</v>
      </c>
      <c r="G51" s="3" t="s">
        <v>157</v>
      </c>
      <c r="H51" s="3" t="s">
        <v>158</v>
      </c>
      <c r="I51" s="3" t="s">
        <v>159</v>
      </c>
      <c r="J51" s="3" t="s">
        <v>160</v>
      </c>
      <c r="K51" s="5" t="str">
        <f>IFERROR(__xludf.DUMMYFUNCTION("JOIN("" "", D51:J51)"),"Yatırımcıların danışmanı dönem sonundaki toplantıdan öfkeyle çıktılar.")</f>
        <v>Yatırımcıların danışmanı dönem sonundaki toplantıdan öfkeyle çıktılar.</v>
      </c>
    </row>
    <row r="52">
      <c r="A52" s="8">
        <v>9.0</v>
      </c>
      <c r="B52" s="3" t="s">
        <v>11</v>
      </c>
      <c r="C52" s="3" t="s">
        <v>28</v>
      </c>
      <c r="D52" s="3" t="s">
        <v>154</v>
      </c>
      <c r="E52" s="3" t="s">
        <v>162</v>
      </c>
      <c r="F52" s="3" t="s">
        <v>156</v>
      </c>
      <c r="G52" s="3" t="s">
        <v>157</v>
      </c>
      <c r="H52" s="3" t="s">
        <v>158</v>
      </c>
      <c r="I52" s="3" t="s">
        <v>159</v>
      </c>
      <c r="J52" s="3" t="s">
        <v>160</v>
      </c>
      <c r="K52" s="5" t="str">
        <f>IFERROR(__xludf.DUMMYFUNCTION("JOIN("" "", D52:J52)"),"Yatırımcının danışmanı dönem sonundaki toplantıdan öfkeyle çıktılar.")</f>
        <v>Yatırımcının danışmanı dönem sonundaki toplantıdan öfkeyle çıktılar.</v>
      </c>
    </row>
    <row r="53">
      <c r="A53" s="8">
        <v>9.0</v>
      </c>
      <c r="B53" s="3" t="s">
        <v>30</v>
      </c>
      <c r="C53" s="3" t="s">
        <v>12</v>
      </c>
      <c r="D53" s="3" t="s">
        <v>168</v>
      </c>
      <c r="E53" s="3" t="s">
        <v>155</v>
      </c>
      <c r="F53" s="3" t="s">
        <v>156</v>
      </c>
      <c r="G53" s="3" t="s">
        <v>157</v>
      </c>
      <c r="H53" s="3" t="s">
        <v>158</v>
      </c>
      <c r="I53" s="3" t="s">
        <v>159</v>
      </c>
      <c r="J53" s="3" t="s">
        <v>160</v>
      </c>
      <c r="K53" s="5" t="str">
        <f>IFERROR(__xludf.DUMMYFUNCTION("JOIN("" "", D53:J53)"),"Yatırımcı danışmanları dönem sonundaki toplantıdan öfkeyle çıktılar.")</f>
        <v>Yatırımcı danışmanları dönem sonundaki toplantıdan öfkeyle çıktılar.</v>
      </c>
    </row>
    <row r="54">
      <c r="A54" s="8">
        <v>9.0</v>
      </c>
      <c r="B54" s="3" t="s">
        <v>30</v>
      </c>
      <c r="C54" s="3" t="s">
        <v>23</v>
      </c>
      <c r="D54" s="3" t="s">
        <v>170</v>
      </c>
      <c r="E54" s="3" t="s">
        <v>162</v>
      </c>
      <c r="F54" s="3" t="s">
        <v>156</v>
      </c>
      <c r="G54" s="3" t="s">
        <v>157</v>
      </c>
      <c r="H54" s="3" t="s">
        <v>158</v>
      </c>
      <c r="I54" s="3" t="s">
        <v>159</v>
      </c>
      <c r="J54" s="3" t="s">
        <v>160</v>
      </c>
      <c r="K54" s="5" t="str">
        <f>IFERROR(__xludf.DUMMYFUNCTION("JOIN("" "", D54:J54)"),"Yatırımcılar danışmanı dönem sonundaki toplantıdan öfkeyle çıktılar.")</f>
        <v>Yatırımcılar danışmanı dönem sonundaki toplantıdan öfkeyle çıktılar.</v>
      </c>
    </row>
    <row r="55">
      <c r="A55" s="8">
        <v>9.0</v>
      </c>
      <c r="B55" s="3" t="s">
        <v>30</v>
      </c>
      <c r="C55" s="3" t="s">
        <v>28</v>
      </c>
      <c r="D55" s="3" t="s">
        <v>168</v>
      </c>
      <c r="E55" s="3" t="s">
        <v>162</v>
      </c>
      <c r="F55" s="3" t="s">
        <v>156</v>
      </c>
      <c r="G55" s="3" t="s">
        <v>157</v>
      </c>
      <c r="H55" s="3" t="s">
        <v>158</v>
      </c>
      <c r="I55" s="3" t="s">
        <v>159</v>
      </c>
      <c r="J55" s="3" t="s">
        <v>160</v>
      </c>
      <c r="K55" s="5" t="str">
        <f>IFERROR(__xludf.DUMMYFUNCTION("JOIN("" "", D55:J55)"),"Yatırımcı danışmanı dönem sonundaki toplantıdan öfkeyle çıktılar.")</f>
        <v>Yatırımcı danışmanı dönem sonundaki toplantıdan öfkeyle çıktılar.</v>
      </c>
    </row>
    <row r="56">
      <c r="A56" s="8">
        <v>10.0</v>
      </c>
      <c r="B56" s="3" t="s">
        <v>11</v>
      </c>
      <c r="C56" s="3" t="s">
        <v>12</v>
      </c>
      <c r="D56" s="3" t="s">
        <v>60</v>
      </c>
      <c r="E56" s="3" t="s">
        <v>173</v>
      </c>
      <c r="F56" s="3" t="s">
        <v>174</v>
      </c>
      <c r="G56" s="3" t="s">
        <v>175</v>
      </c>
      <c r="H56" s="3" t="s">
        <v>176</v>
      </c>
      <c r="I56" s="3" t="s">
        <v>177</v>
      </c>
      <c r="J56" s="3" t="s">
        <v>178</v>
      </c>
      <c r="K56" s="5" t="str">
        <f>IFERROR(__xludf.DUMMYFUNCTION("JOIN("" "", D56:J56)"),"Mültecinin dostları savaşın ardından yardım çağrısına koştular.")</f>
        <v>Mültecinin dostları savaşın ardından yardım çağrısına koştular.</v>
      </c>
    </row>
    <row r="57">
      <c r="A57" s="8">
        <v>10.0</v>
      </c>
      <c r="B57" s="3" t="s">
        <v>11</v>
      </c>
      <c r="C57" s="3" t="s">
        <v>23</v>
      </c>
      <c r="D57" s="3" t="s">
        <v>67</v>
      </c>
      <c r="E57" s="3" t="s">
        <v>180</v>
      </c>
      <c r="F57" s="3" t="s">
        <v>174</v>
      </c>
      <c r="G57" s="3" t="s">
        <v>175</v>
      </c>
      <c r="H57" s="3" t="s">
        <v>176</v>
      </c>
      <c r="I57" s="3" t="s">
        <v>177</v>
      </c>
      <c r="J57" s="3" t="s">
        <v>178</v>
      </c>
      <c r="K57" s="5" t="str">
        <f>IFERROR(__xludf.DUMMYFUNCTION("JOIN("" "", D57:J57)"),"Mültecilerin dostu savaşın ardından yardım çağrısına koştular.")</f>
        <v>Mültecilerin dostu savaşın ardından yardım çağrısına koştular.</v>
      </c>
    </row>
    <row r="58">
      <c r="A58" s="8">
        <v>10.0</v>
      </c>
      <c r="B58" s="3" t="s">
        <v>11</v>
      </c>
      <c r="C58" s="3" t="s">
        <v>28</v>
      </c>
      <c r="D58" s="3" t="s">
        <v>60</v>
      </c>
      <c r="E58" s="3" t="s">
        <v>180</v>
      </c>
      <c r="F58" s="3" t="s">
        <v>174</v>
      </c>
      <c r="G58" s="3" t="s">
        <v>175</v>
      </c>
      <c r="H58" s="3" t="s">
        <v>176</v>
      </c>
      <c r="I58" s="3" t="s">
        <v>177</v>
      </c>
      <c r="J58" s="3" t="s">
        <v>178</v>
      </c>
      <c r="K58" s="5" t="str">
        <f>IFERROR(__xludf.DUMMYFUNCTION("JOIN("" "", D58:J58)"),"Mültecinin dostu savaşın ardından yardım çağrısına koştular.")</f>
        <v>Mültecinin dostu savaşın ardından yardım çağrısına koştular.</v>
      </c>
    </row>
    <row r="59">
      <c r="A59" s="8">
        <v>10.0</v>
      </c>
      <c r="B59" s="3" t="s">
        <v>30</v>
      </c>
      <c r="C59" s="3" t="s">
        <v>12</v>
      </c>
      <c r="D59" s="3" t="s">
        <v>69</v>
      </c>
      <c r="E59" s="3" t="s">
        <v>173</v>
      </c>
      <c r="F59" s="3" t="s">
        <v>174</v>
      </c>
      <c r="G59" s="3" t="s">
        <v>175</v>
      </c>
      <c r="H59" s="3" t="s">
        <v>176</v>
      </c>
      <c r="I59" s="3" t="s">
        <v>177</v>
      </c>
      <c r="J59" s="3" t="s">
        <v>178</v>
      </c>
      <c r="K59" s="5" t="str">
        <f>IFERROR(__xludf.DUMMYFUNCTION("JOIN("" "", D59:J59)"),"Mülteci dostları savaşın ardından yardım çağrısına koştular.")</f>
        <v>Mülteci dostları savaşın ardından yardım çağrısına koştular.</v>
      </c>
    </row>
    <row r="60">
      <c r="A60" s="8">
        <v>10.0</v>
      </c>
      <c r="B60" s="3" t="s">
        <v>30</v>
      </c>
      <c r="C60" s="3" t="s">
        <v>23</v>
      </c>
      <c r="D60" s="3" t="s">
        <v>70</v>
      </c>
      <c r="E60" s="3" t="s">
        <v>180</v>
      </c>
      <c r="F60" s="3" t="s">
        <v>174</v>
      </c>
      <c r="G60" s="3" t="s">
        <v>175</v>
      </c>
      <c r="H60" s="3" t="s">
        <v>176</v>
      </c>
      <c r="I60" s="3" t="s">
        <v>177</v>
      </c>
      <c r="J60" s="3" t="s">
        <v>178</v>
      </c>
      <c r="K60" s="5" t="str">
        <f>IFERROR(__xludf.DUMMYFUNCTION("JOIN("" "", D60:J60)"),"Mülteciler dostu savaşın ardından yardım çağrısına koştular.")</f>
        <v>Mülteciler dostu savaşın ardından yardım çağrısına koştular.</v>
      </c>
    </row>
    <row r="61">
      <c r="A61" s="8">
        <v>10.0</v>
      </c>
      <c r="B61" s="3" t="s">
        <v>30</v>
      </c>
      <c r="C61" s="3" t="s">
        <v>28</v>
      </c>
      <c r="D61" s="3" t="s">
        <v>69</v>
      </c>
      <c r="E61" s="3" t="s">
        <v>180</v>
      </c>
      <c r="F61" s="3" t="s">
        <v>174</v>
      </c>
      <c r="G61" s="3" t="s">
        <v>175</v>
      </c>
      <c r="H61" s="3" t="s">
        <v>176</v>
      </c>
      <c r="I61" s="3" t="s">
        <v>177</v>
      </c>
      <c r="J61" s="3" t="s">
        <v>178</v>
      </c>
      <c r="K61" s="5" t="str">
        <f>IFERROR(__xludf.DUMMYFUNCTION("JOIN("" "", D61:J61)"),"Mülteci dostu savaşın ardından yardım çağrısına koştular.")</f>
        <v>Mülteci dostu savaşın ardından yardım çağrısına koştular.</v>
      </c>
    </row>
    <row r="62">
      <c r="A62" s="8">
        <v>11.0</v>
      </c>
      <c r="B62" s="3" t="s">
        <v>11</v>
      </c>
      <c r="C62" s="3" t="s">
        <v>12</v>
      </c>
      <c r="D62" s="3" t="s">
        <v>186</v>
      </c>
      <c r="E62" s="3" t="s">
        <v>187</v>
      </c>
      <c r="F62" s="3" t="s">
        <v>188</v>
      </c>
      <c r="G62" s="3" t="s">
        <v>189</v>
      </c>
      <c r="H62" s="3" t="s">
        <v>190</v>
      </c>
      <c r="I62" s="3" t="s">
        <v>190</v>
      </c>
      <c r="J62" s="3" t="s">
        <v>191</v>
      </c>
      <c r="K62" s="5" t="str">
        <f>IFERROR(__xludf.DUMMYFUNCTION("JOIN("" "", D62:J62)"),"Sendikacının vekilleri görüşme salonundan hızlı hızlı uzaklaştılar.")</f>
        <v>Sendikacının vekilleri görüşme salonundan hızlı hızlı uzaklaştılar.</v>
      </c>
    </row>
    <row r="63">
      <c r="A63" s="8">
        <v>11.0</v>
      </c>
      <c r="B63" s="3" t="s">
        <v>11</v>
      </c>
      <c r="C63" s="3" t="s">
        <v>23</v>
      </c>
      <c r="D63" s="3" t="s">
        <v>193</v>
      </c>
      <c r="E63" s="3" t="s">
        <v>194</v>
      </c>
      <c r="F63" s="3" t="s">
        <v>188</v>
      </c>
      <c r="G63" s="3" t="s">
        <v>189</v>
      </c>
      <c r="H63" s="3" t="s">
        <v>190</v>
      </c>
      <c r="I63" s="3" t="s">
        <v>190</v>
      </c>
      <c r="J63" s="3" t="s">
        <v>191</v>
      </c>
      <c r="K63" s="5" t="str">
        <f>IFERROR(__xludf.DUMMYFUNCTION("JOIN("" "", D63:J63)"),"Sendikacıların vekili görüşme salonundan hızlı hızlı uzaklaştılar.")</f>
        <v>Sendikacıların vekili görüşme salonundan hızlı hızlı uzaklaştılar.</v>
      </c>
    </row>
    <row r="64">
      <c r="A64" s="8">
        <v>11.0</v>
      </c>
      <c r="B64" s="3" t="s">
        <v>11</v>
      </c>
      <c r="C64" s="3" t="s">
        <v>28</v>
      </c>
      <c r="D64" s="3" t="s">
        <v>186</v>
      </c>
      <c r="E64" s="3" t="s">
        <v>194</v>
      </c>
      <c r="F64" s="3" t="s">
        <v>188</v>
      </c>
      <c r="G64" s="3" t="s">
        <v>189</v>
      </c>
      <c r="H64" s="3" t="s">
        <v>190</v>
      </c>
      <c r="I64" s="3" t="s">
        <v>190</v>
      </c>
      <c r="J64" s="3" t="s">
        <v>191</v>
      </c>
      <c r="K64" s="5" t="str">
        <f>IFERROR(__xludf.DUMMYFUNCTION("JOIN("" "", D64:J64)"),"Sendikacının vekili görüşme salonundan hızlı hızlı uzaklaştılar.")</f>
        <v>Sendikacının vekili görüşme salonundan hızlı hızlı uzaklaştılar.</v>
      </c>
    </row>
    <row r="65">
      <c r="A65" s="8">
        <v>11.0</v>
      </c>
      <c r="B65" s="3" t="s">
        <v>30</v>
      </c>
      <c r="C65" s="3" t="s">
        <v>12</v>
      </c>
      <c r="D65" s="3" t="s">
        <v>197</v>
      </c>
      <c r="E65" s="3" t="s">
        <v>187</v>
      </c>
      <c r="F65" s="3" t="s">
        <v>188</v>
      </c>
      <c r="G65" s="3" t="s">
        <v>189</v>
      </c>
      <c r="H65" s="3" t="s">
        <v>190</v>
      </c>
      <c r="I65" s="3" t="s">
        <v>190</v>
      </c>
      <c r="J65" s="3" t="s">
        <v>191</v>
      </c>
      <c r="K65" s="5" t="str">
        <f>IFERROR(__xludf.DUMMYFUNCTION("JOIN("" "", D65:J65)"),"Sendikacı vekilleri görüşme salonundan hızlı hızlı uzaklaştılar.")</f>
        <v>Sendikacı vekilleri görüşme salonundan hızlı hızlı uzaklaştılar.</v>
      </c>
    </row>
    <row r="66">
      <c r="A66" s="8">
        <v>11.0</v>
      </c>
      <c r="B66" s="3" t="s">
        <v>30</v>
      </c>
      <c r="C66" s="3" t="s">
        <v>23</v>
      </c>
      <c r="D66" s="3" t="s">
        <v>199</v>
      </c>
      <c r="E66" s="3" t="s">
        <v>194</v>
      </c>
      <c r="F66" s="3" t="s">
        <v>188</v>
      </c>
      <c r="G66" s="3" t="s">
        <v>189</v>
      </c>
      <c r="H66" s="3" t="s">
        <v>190</v>
      </c>
      <c r="I66" s="3" t="s">
        <v>190</v>
      </c>
      <c r="J66" s="3" t="s">
        <v>191</v>
      </c>
      <c r="K66" s="5" t="str">
        <f>IFERROR(__xludf.DUMMYFUNCTION("JOIN("" "", D66:J66)"),"Sendikacılar vekili görüşme salonundan hızlı hızlı uzaklaştılar.")</f>
        <v>Sendikacılar vekili görüşme salonundan hızlı hızlı uzaklaştılar.</v>
      </c>
    </row>
    <row r="67">
      <c r="A67" s="8">
        <v>11.0</v>
      </c>
      <c r="B67" s="3" t="s">
        <v>30</v>
      </c>
      <c r="C67" s="3" t="s">
        <v>28</v>
      </c>
      <c r="D67" s="3" t="s">
        <v>197</v>
      </c>
      <c r="E67" s="3" t="s">
        <v>194</v>
      </c>
      <c r="F67" s="3" t="s">
        <v>188</v>
      </c>
      <c r="G67" s="3" t="s">
        <v>189</v>
      </c>
      <c r="H67" s="3" t="s">
        <v>190</v>
      </c>
      <c r="I67" s="3" t="s">
        <v>190</v>
      </c>
      <c r="J67" s="3" t="s">
        <v>191</v>
      </c>
      <c r="K67" s="5" t="str">
        <f>IFERROR(__xludf.DUMMYFUNCTION("JOIN("" "", D67:J67)"),"Sendikacı vekili görüşme salonundan hızlı hızlı uzaklaştılar.")</f>
        <v>Sendikacı vekili görüşme salonundan hızlı hızlı uzaklaştılar.</v>
      </c>
    </row>
    <row r="68">
      <c r="A68" s="8">
        <v>12.0</v>
      </c>
      <c r="B68" s="3" t="s">
        <v>11</v>
      </c>
      <c r="C68" s="3" t="s">
        <v>12</v>
      </c>
      <c r="D68" s="3" t="s">
        <v>205</v>
      </c>
      <c r="E68" s="3" t="s">
        <v>206</v>
      </c>
      <c r="F68" s="3" t="s">
        <v>207</v>
      </c>
      <c r="G68" s="3" t="s">
        <v>208</v>
      </c>
      <c r="H68" s="3" t="s">
        <v>209</v>
      </c>
      <c r="I68" s="3" t="s">
        <v>210</v>
      </c>
      <c r="J68" s="3" t="s">
        <v>211</v>
      </c>
      <c r="K68" s="5" t="str">
        <f>IFERROR(__xludf.DUMMYFUNCTION("JOIN("" "", D68:J68)"),"Memurun düşmanları kavganın ortasında aniden habersizce kaçtılar.")</f>
        <v>Memurun düşmanları kavganın ortasında aniden habersizce kaçtılar.</v>
      </c>
    </row>
    <row r="69">
      <c r="A69" s="8">
        <v>12.0</v>
      </c>
      <c r="B69" s="3" t="s">
        <v>11</v>
      </c>
      <c r="C69" s="3" t="s">
        <v>23</v>
      </c>
      <c r="D69" s="3" t="s">
        <v>213</v>
      </c>
      <c r="E69" s="3" t="s">
        <v>214</v>
      </c>
      <c r="F69" s="3" t="s">
        <v>207</v>
      </c>
      <c r="G69" s="3" t="s">
        <v>208</v>
      </c>
      <c r="H69" s="3" t="s">
        <v>209</v>
      </c>
      <c r="I69" s="3" t="s">
        <v>210</v>
      </c>
      <c r="J69" s="3" t="s">
        <v>211</v>
      </c>
      <c r="K69" s="5" t="str">
        <f>IFERROR(__xludf.DUMMYFUNCTION("JOIN("" "", D69:J69)"),"Memurların düşmanı kavganın ortasında aniden habersizce kaçtılar.")</f>
        <v>Memurların düşmanı kavganın ortasında aniden habersizce kaçtılar.</v>
      </c>
    </row>
    <row r="70">
      <c r="A70" s="8">
        <v>12.0</v>
      </c>
      <c r="B70" s="3" t="s">
        <v>11</v>
      </c>
      <c r="C70" s="3" t="s">
        <v>28</v>
      </c>
      <c r="D70" s="3" t="s">
        <v>205</v>
      </c>
      <c r="E70" s="3" t="s">
        <v>214</v>
      </c>
      <c r="F70" s="3" t="s">
        <v>207</v>
      </c>
      <c r="G70" s="3" t="s">
        <v>208</v>
      </c>
      <c r="H70" s="3" t="s">
        <v>209</v>
      </c>
      <c r="I70" s="3" t="s">
        <v>210</v>
      </c>
      <c r="J70" s="3" t="s">
        <v>211</v>
      </c>
      <c r="K70" s="5" t="str">
        <f>IFERROR(__xludf.DUMMYFUNCTION("JOIN("" "", D70:J70)"),"Memurun düşmanı kavganın ortasında aniden habersizce kaçtılar.")</f>
        <v>Memurun düşmanı kavganın ortasında aniden habersizce kaçtılar.</v>
      </c>
    </row>
    <row r="71">
      <c r="A71" s="8">
        <v>12.0</v>
      </c>
      <c r="B71" s="3" t="s">
        <v>30</v>
      </c>
      <c r="C71" s="3" t="s">
        <v>12</v>
      </c>
      <c r="D71" s="3" t="s">
        <v>217</v>
      </c>
      <c r="E71" s="3" t="s">
        <v>206</v>
      </c>
      <c r="F71" s="3" t="s">
        <v>207</v>
      </c>
      <c r="G71" s="3" t="s">
        <v>208</v>
      </c>
      <c r="H71" s="3" t="s">
        <v>209</v>
      </c>
      <c r="I71" s="3" t="s">
        <v>210</v>
      </c>
      <c r="J71" s="3" t="s">
        <v>211</v>
      </c>
      <c r="K71" s="5" t="str">
        <f>IFERROR(__xludf.DUMMYFUNCTION("JOIN("" "", D71:J71)"),"Memur düşmanları kavganın ortasında aniden habersizce kaçtılar.")</f>
        <v>Memur düşmanları kavganın ortasında aniden habersizce kaçtılar.</v>
      </c>
    </row>
    <row r="72">
      <c r="A72" s="8">
        <v>12.0</v>
      </c>
      <c r="B72" s="3" t="s">
        <v>30</v>
      </c>
      <c r="C72" s="3" t="s">
        <v>23</v>
      </c>
      <c r="D72" s="3" t="s">
        <v>219</v>
      </c>
      <c r="E72" s="3" t="s">
        <v>214</v>
      </c>
      <c r="F72" s="3" t="s">
        <v>207</v>
      </c>
      <c r="G72" s="3" t="s">
        <v>208</v>
      </c>
      <c r="H72" s="3" t="s">
        <v>209</v>
      </c>
      <c r="I72" s="3" t="s">
        <v>210</v>
      </c>
      <c r="J72" s="3" t="s">
        <v>211</v>
      </c>
      <c r="K72" s="5" t="str">
        <f>IFERROR(__xludf.DUMMYFUNCTION("JOIN("" "", D72:J72)"),"Memurlar düşmanı kavganın ortasında aniden habersizce kaçtılar.")</f>
        <v>Memurlar düşmanı kavganın ortasında aniden habersizce kaçtılar.</v>
      </c>
    </row>
    <row r="73">
      <c r="A73" s="8">
        <v>12.0</v>
      </c>
      <c r="B73" s="3" t="s">
        <v>30</v>
      </c>
      <c r="C73" s="3" t="s">
        <v>28</v>
      </c>
      <c r="D73" s="3" t="s">
        <v>217</v>
      </c>
      <c r="E73" s="3" t="s">
        <v>214</v>
      </c>
      <c r="F73" s="3" t="s">
        <v>207</v>
      </c>
      <c r="G73" s="3" t="s">
        <v>208</v>
      </c>
      <c r="H73" s="3" t="s">
        <v>209</v>
      </c>
      <c r="I73" s="3" t="s">
        <v>210</v>
      </c>
      <c r="J73" s="3" t="s">
        <v>211</v>
      </c>
      <c r="K73" s="5" t="str">
        <f>IFERROR(__xludf.DUMMYFUNCTION("JOIN("" "", D73:J73)"),"Memur düşmanı kavganın ortasında aniden habersizce kaçtılar.")</f>
        <v>Memur düşmanı kavganın ortasında aniden habersizce kaçtılar.</v>
      </c>
    </row>
    <row r="74">
      <c r="A74" s="8">
        <v>13.0</v>
      </c>
      <c r="B74" s="3" t="s">
        <v>11</v>
      </c>
      <c r="C74" s="3" t="s">
        <v>12</v>
      </c>
      <c r="D74" s="3" t="s">
        <v>220</v>
      </c>
      <c r="E74" s="3" t="s">
        <v>221</v>
      </c>
      <c r="F74" s="3" t="s">
        <v>222</v>
      </c>
      <c r="G74" s="3" t="s">
        <v>223</v>
      </c>
      <c r="H74" s="3" t="s">
        <v>224</v>
      </c>
      <c r="I74" s="3" t="s">
        <v>225</v>
      </c>
      <c r="J74" s="3" t="s">
        <v>226</v>
      </c>
      <c r="K74" s="5" t="str">
        <f>IFERROR(__xludf.DUMMYFUNCTION("JOIN("" "", D74:J74)"),"Suçlunun avcıları son çatışmada dikkatsizlik yüzünden yaralandılar.")</f>
        <v>Suçlunun avcıları son çatışmada dikkatsizlik yüzünden yaralandılar.</v>
      </c>
    </row>
    <row r="75">
      <c r="A75" s="8">
        <v>13.0</v>
      </c>
      <c r="B75" s="3" t="s">
        <v>11</v>
      </c>
      <c r="C75" s="3" t="s">
        <v>23</v>
      </c>
      <c r="D75" s="3" t="s">
        <v>227</v>
      </c>
      <c r="E75" s="3" t="s">
        <v>228</v>
      </c>
      <c r="F75" s="3" t="s">
        <v>222</v>
      </c>
      <c r="G75" s="3" t="s">
        <v>223</v>
      </c>
      <c r="H75" s="3" t="s">
        <v>224</v>
      </c>
      <c r="I75" s="3" t="s">
        <v>225</v>
      </c>
      <c r="J75" s="3" t="s">
        <v>226</v>
      </c>
      <c r="K75" s="5" t="str">
        <f>IFERROR(__xludf.DUMMYFUNCTION("JOIN("" "", D75:J75)"),"Suçluların avcısı son çatışmada dikkatsizlik yüzünden yaralandılar.")</f>
        <v>Suçluların avcısı son çatışmada dikkatsizlik yüzünden yaralandılar.</v>
      </c>
    </row>
    <row r="76">
      <c r="A76" s="8">
        <v>13.0</v>
      </c>
      <c r="B76" s="3" t="s">
        <v>11</v>
      </c>
      <c r="C76" s="3" t="s">
        <v>28</v>
      </c>
      <c r="D76" s="3" t="s">
        <v>220</v>
      </c>
      <c r="E76" s="3" t="s">
        <v>228</v>
      </c>
      <c r="F76" s="3" t="s">
        <v>222</v>
      </c>
      <c r="G76" s="3" t="s">
        <v>223</v>
      </c>
      <c r="H76" s="3" t="s">
        <v>224</v>
      </c>
      <c r="I76" s="3" t="s">
        <v>225</v>
      </c>
      <c r="J76" s="3" t="s">
        <v>226</v>
      </c>
      <c r="K76" s="5" t="str">
        <f>IFERROR(__xludf.DUMMYFUNCTION("JOIN("" "", D76:J76)"),"Suçlunun avcısı son çatışmada dikkatsizlik yüzünden yaralandılar.")</f>
        <v>Suçlunun avcısı son çatışmada dikkatsizlik yüzünden yaralandılar.</v>
      </c>
    </row>
    <row r="77">
      <c r="A77" s="8">
        <v>13.0</v>
      </c>
      <c r="B77" s="3" t="s">
        <v>30</v>
      </c>
      <c r="C77" s="3" t="s">
        <v>12</v>
      </c>
      <c r="D77" s="3" t="s">
        <v>229</v>
      </c>
      <c r="E77" s="3" t="s">
        <v>221</v>
      </c>
      <c r="F77" s="3" t="s">
        <v>222</v>
      </c>
      <c r="G77" s="3" t="s">
        <v>223</v>
      </c>
      <c r="H77" s="3" t="s">
        <v>224</v>
      </c>
      <c r="I77" s="3" t="s">
        <v>225</v>
      </c>
      <c r="J77" s="3" t="s">
        <v>226</v>
      </c>
      <c r="K77" s="5" t="str">
        <f>IFERROR(__xludf.DUMMYFUNCTION("JOIN("" "", D77:J77)"),"Suçlu avcıları son çatışmada dikkatsizlik yüzünden yaralandılar.")</f>
        <v>Suçlu avcıları son çatışmada dikkatsizlik yüzünden yaralandılar.</v>
      </c>
    </row>
    <row r="78">
      <c r="A78" s="8">
        <v>13.0</v>
      </c>
      <c r="B78" s="3" t="s">
        <v>30</v>
      </c>
      <c r="C78" s="3" t="s">
        <v>23</v>
      </c>
      <c r="D78" s="3" t="s">
        <v>230</v>
      </c>
      <c r="E78" s="3" t="s">
        <v>228</v>
      </c>
      <c r="F78" s="3" t="s">
        <v>222</v>
      </c>
      <c r="G78" s="3" t="s">
        <v>223</v>
      </c>
      <c r="H78" s="3" t="s">
        <v>224</v>
      </c>
      <c r="I78" s="3" t="s">
        <v>225</v>
      </c>
      <c r="J78" s="3" t="s">
        <v>226</v>
      </c>
      <c r="K78" s="5" t="str">
        <f>IFERROR(__xludf.DUMMYFUNCTION("JOIN("" "", D78:J78)"),"Suçlular avcısı son çatışmada dikkatsizlik yüzünden yaralandılar.")</f>
        <v>Suçlular avcısı son çatışmada dikkatsizlik yüzünden yaralandılar.</v>
      </c>
    </row>
    <row r="79">
      <c r="A79" s="8">
        <v>13.0</v>
      </c>
      <c r="B79" s="3" t="s">
        <v>30</v>
      </c>
      <c r="C79" s="3" t="s">
        <v>28</v>
      </c>
      <c r="D79" s="3" t="s">
        <v>229</v>
      </c>
      <c r="E79" s="3" t="s">
        <v>228</v>
      </c>
      <c r="F79" s="3" t="s">
        <v>222</v>
      </c>
      <c r="G79" s="3" t="s">
        <v>223</v>
      </c>
      <c r="H79" s="3" t="s">
        <v>224</v>
      </c>
      <c r="I79" s="3" t="s">
        <v>225</v>
      </c>
      <c r="J79" s="3" t="s">
        <v>226</v>
      </c>
      <c r="K79" s="5" t="str">
        <f>IFERROR(__xludf.DUMMYFUNCTION("JOIN("" "", D79:J79)"),"Suçlu avcısı son çatışmada dikkatsizlik yüzünden yaralandılar.")</f>
        <v>Suçlu avcısı son çatışmada dikkatsizlik yüzünden yaralandılar.</v>
      </c>
    </row>
    <row r="80">
      <c r="A80" s="8">
        <v>14.0</v>
      </c>
      <c r="B80" s="3" t="s">
        <v>11</v>
      </c>
      <c r="C80" s="3" t="s">
        <v>12</v>
      </c>
      <c r="D80" s="3" t="s">
        <v>186</v>
      </c>
      <c r="E80" s="3" t="s">
        <v>231</v>
      </c>
      <c r="F80" s="3" t="s">
        <v>232</v>
      </c>
      <c r="G80" s="3" t="s">
        <v>233</v>
      </c>
      <c r="H80" s="3" t="s">
        <v>188</v>
      </c>
      <c r="I80" s="3" t="s">
        <v>63</v>
      </c>
      <c r="J80" s="3" t="s">
        <v>66</v>
      </c>
      <c r="K80" s="5" t="str">
        <f>IFERROR(__xludf.DUMMYFUNCTION("JOIN("" "", D80:J80)"),"Sendikacının koordinatörleri yarınki önemli görüşme için hazırlandılar.")</f>
        <v>Sendikacının koordinatörleri yarınki önemli görüşme için hazırlandılar.</v>
      </c>
    </row>
    <row r="81">
      <c r="A81" s="8">
        <v>14.0</v>
      </c>
      <c r="B81" s="3" t="s">
        <v>11</v>
      </c>
      <c r="C81" s="3" t="s">
        <v>23</v>
      </c>
      <c r="D81" s="3" t="s">
        <v>193</v>
      </c>
      <c r="E81" s="3" t="s">
        <v>234</v>
      </c>
      <c r="F81" s="3" t="s">
        <v>232</v>
      </c>
      <c r="G81" s="3" t="s">
        <v>233</v>
      </c>
      <c r="H81" s="3" t="s">
        <v>188</v>
      </c>
      <c r="I81" s="3" t="s">
        <v>63</v>
      </c>
      <c r="J81" s="3" t="s">
        <v>66</v>
      </c>
      <c r="K81" s="5" t="str">
        <f>IFERROR(__xludf.DUMMYFUNCTION("JOIN("" "", D81:J81)"),"Sendikacıların koordinatörü yarınki önemli görüşme için hazırlandılar.")</f>
        <v>Sendikacıların koordinatörü yarınki önemli görüşme için hazırlandılar.</v>
      </c>
    </row>
    <row r="82">
      <c r="A82" s="8">
        <v>14.0</v>
      </c>
      <c r="B82" s="3" t="s">
        <v>11</v>
      </c>
      <c r="C82" s="3" t="s">
        <v>28</v>
      </c>
      <c r="D82" s="3" t="s">
        <v>186</v>
      </c>
      <c r="E82" s="3" t="s">
        <v>234</v>
      </c>
      <c r="F82" s="3" t="s">
        <v>232</v>
      </c>
      <c r="G82" s="3" t="s">
        <v>233</v>
      </c>
      <c r="H82" s="3" t="s">
        <v>188</v>
      </c>
      <c r="I82" s="3" t="s">
        <v>63</v>
      </c>
      <c r="J82" s="3" t="s">
        <v>66</v>
      </c>
      <c r="K82" s="5" t="str">
        <f>IFERROR(__xludf.DUMMYFUNCTION("JOIN("" "", D82:J82)"),"Sendikacının koordinatörü yarınki önemli görüşme için hazırlandılar.")</f>
        <v>Sendikacının koordinatörü yarınki önemli görüşme için hazırlandılar.</v>
      </c>
    </row>
    <row r="83">
      <c r="A83" s="8">
        <v>14.0</v>
      </c>
      <c r="B83" s="3" t="s">
        <v>30</v>
      </c>
      <c r="C83" s="3" t="s">
        <v>12</v>
      </c>
      <c r="D83" s="3" t="s">
        <v>197</v>
      </c>
      <c r="E83" s="3" t="s">
        <v>231</v>
      </c>
      <c r="F83" s="3" t="s">
        <v>232</v>
      </c>
      <c r="G83" s="3" t="s">
        <v>233</v>
      </c>
      <c r="H83" s="3" t="s">
        <v>188</v>
      </c>
      <c r="I83" s="3" t="s">
        <v>63</v>
      </c>
      <c r="J83" s="3" t="s">
        <v>66</v>
      </c>
      <c r="K83" s="5" t="str">
        <f>IFERROR(__xludf.DUMMYFUNCTION("JOIN("" "", D83:J83)"),"Sendikacı koordinatörleri yarınki önemli görüşme için hazırlandılar.")</f>
        <v>Sendikacı koordinatörleri yarınki önemli görüşme için hazırlandılar.</v>
      </c>
    </row>
    <row r="84">
      <c r="A84" s="8">
        <v>14.0</v>
      </c>
      <c r="B84" s="3" t="s">
        <v>30</v>
      </c>
      <c r="C84" s="3" t="s">
        <v>23</v>
      </c>
      <c r="D84" s="3" t="s">
        <v>199</v>
      </c>
      <c r="E84" s="3" t="s">
        <v>234</v>
      </c>
      <c r="F84" s="3" t="s">
        <v>232</v>
      </c>
      <c r="G84" s="3" t="s">
        <v>233</v>
      </c>
      <c r="H84" s="3" t="s">
        <v>188</v>
      </c>
      <c r="I84" s="3" t="s">
        <v>63</v>
      </c>
      <c r="J84" s="3" t="s">
        <v>66</v>
      </c>
      <c r="K84" s="5" t="str">
        <f>IFERROR(__xludf.DUMMYFUNCTION("JOIN("" "", D84:J84)"),"Sendikacılar koordinatörü yarınki önemli görüşme için hazırlandılar.")</f>
        <v>Sendikacılar koordinatörü yarınki önemli görüşme için hazırlandılar.</v>
      </c>
    </row>
    <row r="85">
      <c r="A85" s="8">
        <v>14.0</v>
      </c>
      <c r="B85" s="3" t="s">
        <v>30</v>
      </c>
      <c r="C85" s="3" t="s">
        <v>28</v>
      </c>
      <c r="D85" s="3" t="s">
        <v>197</v>
      </c>
      <c r="E85" s="3" t="s">
        <v>234</v>
      </c>
      <c r="F85" s="3" t="s">
        <v>232</v>
      </c>
      <c r="G85" s="3" t="s">
        <v>233</v>
      </c>
      <c r="H85" s="3" t="s">
        <v>188</v>
      </c>
      <c r="I85" s="3" t="s">
        <v>63</v>
      </c>
      <c r="J85" s="3" t="s">
        <v>66</v>
      </c>
      <c r="K85" s="5" t="str">
        <f>IFERROR(__xludf.DUMMYFUNCTION("JOIN("" "", D85:J85)"),"Sendikacı koordinatörü yarınki önemli görüşme için hazırlandılar.")</f>
        <v>Sendikacı koordinatörü yarınki önemli görüşme için hazırlandılar.</v>
      </c>
    </row>
    <row r="86">
      <c r="A86" s="8">
        <v>15.0</v>
      </c>
      <c r="B86" s="3" t="s">
        <v>11</v>
      </c>
      <c r="C86" s="3" t="s">
        <v>12</v>
      </c>
      <c r="D86" s="3" t="s">
        <v>235</v>
      </c>
      <c r="E86" s="3" t="s">
        <v>126</v>
      </c>
      <c r="F86" s="3" t="s">
        <v>236</v>
      </c>
      <c r="G86" s="3" t="s">
        <v>237</v>
      </c>
      <c r="H86" s="3" t="s">
        <v>238</v>
      </c>
      <c r="I86" s="3" t="s">
        <v>239</v>
      </c>
      <c r="J86" s="3" t="s">
        <v>240</v>
      </c>
      <c r="K86" s="5" t="str">
        <f>IFERROR(__xludf.DUMMYFUNCTION("JOIN("" "", D86:J86)"),"Engellinin bakıcıları ufacık zamma anlamsızca çok sevindiler.")</f>
        <v>Engellinin bakıcıları ufacık zamma anlamsızca çok sevindiler.</v>
      </c>
    </row>
    <row r="87">
      <c r="A87" s="8">
        <v>15.0</v>
      </c>
      <c r="B87" s="3" t="s">
        <v>11</v>
      </c>
      <c r="C87" s="3" t="s">
        <v>23</v>
      </c>
      <c r="D87" s="3" t="s">
        <v>241</v>
      </c>
      <c r="E87" s="3" t="s">
        <v>139</v>
      </c>
      <c r="F87" s="3" t="s">
        <v>236</v>
      </c>
      <c r="G87" s="3" t="s">
        <v>237</v>
      </c>
      <c r="H87" s="3" t="s">
        <v>238</v>
      </c>
      <c r="I87" s="3" t="s">
        <v>239</v>
      </c>
      <c r="J87" s="3" t="s">
        <v>240</v>
      </c>
      <c r="K87" s="5" t="str">
        <f>IFERROR(__xludf.DUMMYFUNCTION("JOIN("" "", D87:J87)"),"Engellilerin bakıcısı ufacık zamma anlamsızca çok sevindiler.")</f>
        <v>Engellilerin bakıcısı ufacık zamma anlamsızca çok sevindiler.</v>
      </c>
    </row>
    <row r="88">
      <c r="A88" s="8">
        <v>15.0</v>
      </c>
      <c r="B88" s="3" t="s">
        <v>11</v>
      </c>
      <c r="C88" s="3" t="s">
        <v>28</v>
      </c>
      <c r="D88" s="3" t="s">
        <v>235</v>
      </c>
      <c r="E88" s="3" t="s">
        <v>139</v>
      </c>
      <c r="F88" s="3" t="s">
        <v>236</v>
      </c>
      <c r="G88" s="3" t="s">
        <v>237</v>
      </c>
      <c r="H88" s="3" t="s">
        <v>238</v>
      </c>
      <c r="I88" s="3" t="s">
        <v>239</v>
      </c>
      <c r="J88" s="3" t="s">
        <v>240</v>
      </c>
      <c r="K88" s="5" t="str">
        <f>IFERROR(__xludf.DUMMYFUNCTION("JOIN("" "", D88:J88)"),"Engellinin bakıcısı ufacık zamma anlamsızca çok sevindiler.")</f>
        <v>Engellinin bakıcısı ufacık zamma anlamsızca çok sevindiler.</v>
      </c>
    </row>
    <row r="89">
      <c r="A89" s="8">
        <v>15.0</v>
      </c>
      <c r="B89" s="3" t="s">
        <v>30</v>
      </c>
      <c r="C89" s="3" t="s">
        <v>12</v>
      </c>
      <c r="D89" s="3" t="s">
        <v>242</v>
      </c>
      <c r="E89" s="3" t="s">
        <v>126</v>
      </c>
      <c r="F89" s="3" t="s">
        <v>236</v>
      </c>
      <c r="G89" s="3" t="s">
        <v>237</v>
      </c>
      <c r="H89" s="3" t="s">
        <v>238</v>
      </c>
      <c r="I89" s="3" t="s">
        <v>239</v>
      </c>
      <c r="J89" s="3" t="s">
        <v>240</v>
      </c>
      <c r="K89" s="5" t="str">
        <f>IFERROR(__xludf.DUMMYFUNCTION("JOIN("" "", D89:J89)"),"Engelli bakıcıları ufacık zamma anlamsızca çok sevindiler.")</f>
        <v>Engelli bakıcıları ufacık zamma anlamsızca çok sevindiler.</v>
      </c>
    </row>
    <row r="90">
      <c r="A90" s="8">
        <v>15.0</v>
      </c>
      <c r="B90" s="3" t="s">
        <v>30</v>
      </c>
      <c r="C90" s="3" t="s">
        <v>23</v>
      </c>
      <c r="D90" s="3" t="s">
        <v>243</v>
      </c>
      <c r="E90" s="3" t="s">
        <v>139</v>
      </c>
      <c r="F90" s="3" t="s">
        <v>236</v>
      </c>
      <c r="G90" s="3" t="s">
        <v>237</v>
      </c>
      <c r="H90" s="3" t="s">
        <v>238</v>
      </c>
      <c r="I90" s="3" t="s">
        <v>239</v>
      </c>
      <c r="J90" s="3" t="s">
        <v>240</v>
      </c>
      <c r="K90" s="5" t="str">
        <f>IFERROR(__xludf.DUMMYFUNCTION("JOIN("" "", D90:J90)"),"Engelliler bakıcısı ufacık zamma anlamsızca çok sevindiler.")</f>
        <v>Engelliler bakıcısı ufacık zamma anlamsızca çok sevindiler.</v>
      </c>
    </row>
    <row r="91">
      <c r="A91" s="8">
        <v>15.0</v>
      </c>
      <c r="B91" s="3" t="s">
        <v>30</v>
      </c>
      <c r="C91" s="3" t="s">
        <v>28</v>
      </c>
      <c r="D91" s="3" t="s">
        <v>242</v>
      </c>
      <c r="E91" s="3" t="s">
        <v>139</v>
      </c>
      <c r="F91" s="3" t="s">
        <v>236</v>
      </c>
      <c r="G91" s="3" t="s">
        <v>237</v>
      </c>
      <c r="H91" s="3" t="s">
        <v>238</v>
      </c>
      <c r="I91" s="3" t="s">
        <v>239</v>
      </c>
      <c r="J91" s="3" t="s">
        <v>240</v>
      </c>
      <c r="K91" s="5" t="str">
        <f>IFERROR(__xludf.DUMMYFUNCTION("JOIN("" "", D91:J91)"),"Engelli bakıcısı ufacık zamma anlamsızca çok sevindiler.")</f>
        <v>Engelli bakıcısı ufacık zamma anlamsızca çok sevindiler.</v>
      </c>
    </row>
    <row r="92">
      <c r="A92" s="8">
        <v>16.0</v>
      </c>
      <c r="B92" s="3" t="s">
        <v>11</v>
      </c>
      <c r="C92" s="3" t="s">
        <v>12</v>
      </c>
      <c r="D92" s="3" t="s">
        <v>244</v>
      </c>
      <c r="E92" s="3" t="s">
        <v>245</v>
      </c>
      <c r="F92" s="3" t="s">
        <v>246</v>
      </c>
      <c r="G92" s="3" t="s">
        <v>247</v>
      </c>
      <c r="H92" s="3" t="s">
        <v>248</v>
      </c>
      <c r="I92" s="3" t="s">
        <v>249</v>
      </c>
      <c r="J92" s="3" t="s">
        <v>250</v>
      </c>
      <c r="K92" s="5" t="str">
        <f>IFERROR(__xludf.DUMMYFUNCTION("JOIN("" "", D92:J92)"),"Partnerin terapistleri zor durum karşısında ihtiyatlı davrandılar.")</f>
        <v>Partnerin terapistleri zor durum karşısında ihtiyatlı davrandılar.</v>
      </c>
    </row>
    <row r="93">
      <c r="A93" s="8">
        <v>16.0</v>
      </c>
      <c r="B93" s="3" t="s">
        <v>11</v>
      </c>
      <c r="C93" s="3" t="s">
        <v>23</v>
      </c>
      <c r="D93" s="3" t="s">
        <v>251</v>
      </c>
      <c r="E93" s="3" t="s">
        <v>252</v>
      </c>
      <c r="F93" s="3" t="s">
        <v>246</v>
      </c>
      <c r="G93" s="3" t="s">
        <v>247</v>
      </c>
      <c r="H93" s="3" t="s">
        <v>248</v>
      </c>
      <c r="I93" s="3" t="s">
        <v>249</v>
      </c>
      <c r="J93" s="3" t="s">
        <v>250</v>
      </c>
      <c r="K93" s="5" t="str">
        <f>IFERROR(__xludf.DUMMYFUNCTION("JOIN("" "", D93:J93)"),"Partnerlerin terapisti zor durum karşısında ihtiyatlı davrandılar.")</f>
        <v>Partnerlerin terapisti zor durum karşısında ihtiyatlı davrandılar.</v>
      </c>
    </row>
    <row r="94">
      <c r="A94" s="8">
        <v>16.0</v>
      </c>
      <c r="B94" s="3" t="s">
        <v>11</v>
      </c>
      <c r="C94" s="3" t="s">
        <v>28</v>
      </c>
      <c r="D94" s="3" t="s">
        <v>244</v>
      </c>
      <c r="E94" s="3" t="s">
        <v>252</v>
      </c>
      <c r="F94" s="3" t="s">
        <v>246</v>
      </c>
      <c r="G94" s="3" t="s">
        <v>247</v>
      </c>
      <c r="H94" s="3" t="s">
        <v>248</v>
      </c>
      <c r="I94" s="3" t="s">
        <v>249</v>
      </c>
      <c r="J94" s="3" t="s">
        <v>250</v>
      </c>
      <c r="K94" s="5" t="str">
        <f>IFERROR(__xludf.DUMMYFUNCTION("JOIN("" "", D94:J94)"),"Partnerin terapisti zor durum karşısında ihtiyatlı davrandılar.")</f>
        <v>Partnerin terapisti zor durum karşısında ihtiyatlı davrandılar.</v>
      </c>
    </row>
    <row r="95">
      <c r="A95" s="8">
        <v>16.0</v>
      </c>
      <c r="B95" s="3" t="s">
        <v>30</v>
      </c>
      <c r="C95" s="3" t="s">
        <v>12</v>
      </c>
      <c r="D95" s="3" t="s">
        <v>253</v>
      </c>
      <c r="E95" s="3" t="s">
        <v>245</v>
      </c>
      <c r="F95" s="3" t="s">
        <v>246</v>
      </c>
      <c r="G95" s="3" t="s">
        <v>247</v>
      </c>
      <c r="H95" s="3" t="s">
        <v>248</v>
      </c>
      <c r="I95" s="3" t="s">
        <v>249</v>
      </c>
      <c r="J95" s="3" t="s">
        <v>250</v>
      </c>
      <c r="K95" s="5" t="str">
        <f>IFERROR(__xludf.DUMMYFUNCTION("JOIN("" "", D95:J95)"),"Partner terapistleri zor durum karşısında ihtiyatlı davrandılar.")</f>
        <v>Partner terapistleri zor durum karşısında ihtiyatlı davrandılar.</v>
      </c>
    </row>
    <row r="96">
      <c r="A96" s="8">
        <v>16.0</v>
      </c>
      <c r="B96" s="3" t="s">
        <v>30</v>
      </c>
      <c r="C96" s="3" t="s">
        <v>23</v>
      </c>
      <c r="D96" s="3" t="s">
        <v>254</v>
      </c>
      <c r="E96" s="3" t="s">
        <v>252</v>
      </c>
      <c r="F96" s="3" t="s">
        <v>246</v>
      </c>
      <c r="G96" s="3" t="s">
        <v>247</v>
      </c>
      <c r="H96" s="3" t="s">
        <v>248</v>
      </c>
      <c r="I96" s="3" t="s">
        <v>249</v>
      </c>
      <c r="J96" s="3" t="s">
        <v>250</v>
      </c>
      <c r="K96" s="5" t="str">
        <f>IFERROR(__xludf.DUMMYFUNCTION("JOIN("" "", D96:J96)"),"Partnerler terapisti zor durum karşısında ihtiyatlı davrandılar.")</f>
        <v>Partnerler terapisti zor durum karşısında ihtiyatlı davrandılar.</v>
      </c>
    </row>
    <row r="97">
      <c r="A97" s="8">
        <v>16.0</v>
      </c>
      <c r="B97" s="3" t="s">
        <v>30</v>
      </c>
      <c r="C97" s="3" t="s">
        <v>28</v>
      </c>
      <c r="D97" s="3" t="s">
        <v>253</v>
      </c>
      <c r="E97" s="3" t="s">
        <v>252</v>
      </c>
      <c r="F97" s="3" t="s">
        <v>246</v>
      </c>
      <c r="G97" s="3" t="s">
        <v>247</v>
      </c>
      <c r="H97" s="3" t="s">
        <v>248</v>
      </c>
      <c r="I97" s="3" t="s">
        <v>249</v>
      </c>
      <c r="J97" s="3" t="s">
        <v>250</v>
      </c>
      <c r="K97" s="5" t="str">
        <f>IFERROR(__xludf.DUMMYFUNCTION("JOIN("" "", D97:J97)"),"Partner terapisti zor durum karşısında ihtiyatlı davrandılar.")</f>
        <v>Partner terapisti zor durum karşısında ihtiyatlı davrandılar.</v>
      </c>
    </row>
    <row r="98">
      <c r="A98" s="8">
        <v>17.0</v>
      </c>
      <c r="B98" s="3" t="s">
        <v>11</v>
      </c>
      <c r="C98" s="3" t="s">
        <v>12</v>
      </c>
      <c r="D98" s="3" t="s">
        <v>255</v>
      </c>
      <c r="E98" s="3" t="s">
        <v>256</v>
      </c>
      <c r="F98" s="3" t="s">
        <v>257</v>
      </c>
      <c r="G98" s="3" t="s">
        <v>258</v>
      </c>
      <c r="H98" s="3" t="s">
        <v>259</v>
      </c>
      <c r="I98" s="3" t="s">
        <v>49</v>
      </c>
      <c r="J98" s="3" t="s">
        <v>260</v>
      </c>
      <c r="K98" s="5" t="str">
        <f>IFERROR(__xludf.DUMMYFUNCTION("JOIN("" "", D98:J98)"),"Sporcunun eğitmenleri yoğun hazırlık döneminden  sonra yoruldular.")</f>
        <v>Sporcunun eğitmenleri yoğun hazırlık döneminden  sonra yoruldular.</v>
      </c>
    </row>
    <row r="99">
      <c r="A99" s="8">
        <v>17.0</v>
      </c>
      <c r="B99" s="3" t="s">
        <v>11</v>
      </c>
      <c r="C99" s="3" t="s">
        <v>23</v>
      </c>
      <c r="D99" s="3" t="s">
        <v>261</v>
      </c>
      <c r="E99" s="3" t="s">
        <v>262</v>
      </c>
      <c r="F99" s="3" t="s">
        <v>257</v>
      </c>
      <c r="G99" s="3" t="s">
        <v>258</v>
      </c>
      <c r="H99" s="3" t="s">
        <v>259</v>
      </c>
      <c r="I99" s="3" t="s">
        <v>49</v>
      </c>
      <c r="J99" s="3" t="s">
        <v>260</v>
      </c>
      <c r="K99" s="5" t="str">
        <f>IFERROR(__xludf.DUMMYFUNCTION("JOIN("" "", D99:J99)"),"Sporcuların eğitmeni yoğun hazırlık döneminden  sonra yoruldular.")</f>
        <v>Sporcuların eğitmeni yoğun hazırlık döneminden  sonra yoruldular.</v>
      </c>
    </row>
    <row r="100">
      <c r="A100" s="8">
        <v>17.0</v>
      </c>
      <c r="B100" s="3" t="s">
        <v>11</v>
      </c>
      <c r="C100" s="3" t="s">
        <v>28</v>
      </c>
      <c r="D100" s="3" t="s">
        <v>255</v>
      </c>
      <c r="E100" s="3" t="s">
        <v>262</v>
      </c>
      <c r="F100" s="3" t="s">
        <v>257</v>
      </c>
      <c r="G100" s="3" t="s">
        <v>258</v>
      </c>
      <c r="H100" s="3" t="s">
        <v>259</v>
      </c>
      <c r="I100" s="3" t="s">
        <v>49</v>
      </c>
      <c r="J100" s="3" t="s">
        <v>260</v>
      </c>
      <c r="K100" s="5" t="str">
        <f>IFERROR(__xludf.DUMMYFUNCTION("JOIN("" "", D100:J100)"),"Sporcunun eğitmeni yoğun hazırlık döneminden  sonra yoruldular.")</f>
        <v>Sporcunun eğitmeni yoğun hazırlık döneminden  sonra yoruldular.</v>
      </c>
    </row>
    <row r="101">
      <c r="A101" s="8">
        <v>17.0</v>
      </c>
      <c r="B101" s="3" t="s">
        <v>30</v>
      </c>
      <c r="C101" s="3" t="s">
        <v>12</v>
      </c>
      <c r="D101" s="3" t="s">
        <v>263</v>
      </c>
      <c r="E101" s="3" t="s">
        <v>256</v>
      </c>
      <c r="F101" s="3" t="s">
        <v>257</v>
      </c>
      <c r="G101" s="3" t="s">
        <v>258</v>
      </c>
      <c r="H101" s="3" t="s">
        <v>259</v>
      </c>
      <c r="I101" s="3" t="s">
        <v>49</v>
      </c>
      <c r="J101" s="3" t="s">
        <v>260</v>
      </c>
      <c r="K101" s="5" t="str">
        <f>IFERROR(__xludf.DUMMYFUNCTION("JOIN("" "", D101:J101)"),"Sporcu eğitmenleri yoğun hazırlık döneminden  sonra yoruldular.")</f>
        <v>Sporcu eğitmenleri yoğun hazırlık döneminden  sonra yoruldular.</v>
      </c>
    </row>
    <row r="102">
      <c r="A102" s="8">
        <v>17.0</v>
      </c>
      <c r="B102" s="3" t="s">
        <v>30</v>
      </c>
      <c r="C102" s="3" t="s">
        <v>23</v>
      </c>
      <c r="D102" s="3" t="s">
        <v>264</v>
      </c>
      <c r="E102" s="3" t="s">
        <v>262</v>
      </c>
      <c r="F102" s="3" t="s">
        <v>257</v>
      </c>
      <c r="G102" s="3" t="s">
        <v>258</v>
      </c>
      <c r="H102" s="3" t="s">
        <v>259</v>
      </c>
      <c r="I102" s="3" t="s">
        <v>49</v>
      </c>
      <c r="J102" s="3" t="s">
        <v>260</v>
      </c>
      <c r="K102" s="5" t="str">
        <f>IFERROR(__xludf.DUMMYFUNCTION("JOIN("" "", D102:J102)"),"Sporcular eğitmeni yoğun hazırlık döneminden  sonra yoruldular.")</f>
        <v>Sporcular eğitmeni yoğun hazırlık döneminden  sonra yoruldular.</v>
      </c>
    </row>
    <row r="103">
      <c r="A103" s="8">
        <v>17.0</v>
      </c>
      <c r="B103" s="3" t="s">
        <v>30</v>
      </c>
      <c r="C103" s="3" t="s">
        <v>28</v>
      </c>
      <c r="D103" s="3" t="s">
        <v>263</v>
      </c>
      <c r="E103" s="3" t="s">
        <v>262</v>
      </c>
      <c r="F103" s="3" t="s">
        <v>257</v>
      </c>
      <c r="G103" s="3" t="s">
        <v>258</v>
      </c>
      <c r="H103" s="3" t="s">
        <v>259</v>
      </c>
      <c r="I103" s="3" t="s">
        <v>49</v>
      </c>
      <c r="J103" s="3" t="s">
        <v>260</v>
      </c>
      <c r="K103" s="5" t="str">
        <f>IFERROR(__xludf.DUMMYFUNCTION("JOIN("" "", D103:J103)"),"Sporcu eğitmeni yoğun hazırlık döneminden  sonra yoruldular.")</f>
        <v>Sporcu eğitmeni yoğun hazırlık döneminden  sonra yoruldular.</v>
      </c>
    </row>
    <row r="104">
      <c r="A104" s="8">
        <v>18.0</v>
      </c>
      <c r="B104" s="3" t="s">
        <v>11</v>
      </c>
      <c r="C104" s="3" t="s">
        <v>12</v>
      </c>
      <c r="D104" s="3" t="s">
        <v>265</v>
      </c>
      <c r="E104" s="3" t="s">
        <v>266</v>
      </c>
      <c r="F104" s="3" t="s">
        <v>267</v>
      </c>
      <c r="G104" s="3" t="s">
        <v>268</v>
      </c>
      <c r="H104" s="3" t="s">
        <v>269</v>
      </c>
      <c r="I104" s="3" t="s">
        <v>270</v>
      </c>
      <c r="J104" s="3" t="s">
        <v>271</v>
      </c>
      <c r="K104" s="5" t="str">
        <f>IFERROR(__xludf.DUMMYFUNCTION("JOIN("" "", D104:J104)"),"İşçinin  sorumluları soğuk kış havasından ötürü hastalandılar.")</f>
        <v>İşçinin  sorumluları soğuk kış havasından ötürü hastalandılar.</v>
      </c>
    </row>
    <row r="105">
      <c r="A105" s="8">
        <v>18.0</v>
      </c>
      <c r="B105" s="3" t="s">
        <v>11</v>
      </c>
      <c r="C105" s="3" t="s">
        <v>23</v>
      </c>
      <c r="D105" s="3" t="s">
        <v>272</v>
      </c>
      <c r="E105" s="3" t="s">
        <v>273</v>
      </c>
      <c r="F105" s="3" t="s">
        <v>267</v>
      </c>
      <c r="G105" s="3" t="s">
        <v>268</v>
      </c>
      <c r="H105" s="3" t="s">
        <v>269</v>
      </c>
      <c r="I105" s="3" t="s">
        <v>270</v>
      </c>
      <c r="J105" s="3" t="s">
        <v>271</v>
      </c>
      <c r="K105" s="5" t="str">
        <f>IFERROR(__xludf.DUMMYFUNCTION("JOIN("" "", D105:J105)"),"İşçilerin sorumlusu soğuk kış havasından ötürü hastalandılar.")</f>
        <v>İşçilerin sorumlusu soğuk kış havasından ötürü hastalandılar.</v>
      </c>
    </row>
    <row r="106">
      <c r="A106" s="8">
        <v>18.0</v>
      </c>
      <c r="B106" s="3" t="s">
        <v>11</v>
      </c>
      <c r="C106" s="3" t="s">
        <v>28</v>
      </c>
      <c r="D106" s="3" t="s">
        <v>265</v>
      </c>
      <c r="E106" s="3" t="s">
        <v>273</v>
      </c>
      <c r="F106" s="3" t="s">
        <v>267</v>
      </c>
      <c r="G106" s="3" t="s">
        <v>268</v>
      </c>
      <c r="H106" s="3" t="s">
        <v>269</v>
      </c>
      <c r="I106" s="3" t="s">
        <v>270</v>
      </c>
      <c r="J106" s="3" t="s">
        <v>271</v>
      </c>
      <c r="K106" s="5" t="str">
        <f>IFERROR(__xludf.DUMMYFUNCTION("JOIN("" "", D106:J106)"),"İşçinin  sorumlusu soğuk kış havasından ötürü hastalandılar.")</f>
        <v>İşçinin  sorumlusu soğuk kış havasından ötürü hastalandılar.</v>
      </c>
    </row>
    <row r="107">
      <c r="A107" s="8">
        <v>18.0</v>
      </c>
      <c r="B107" s="3" t="s">
        <v>30</v>
      </c>
      <c r="C107" s="3" t="s">
        <v>12</v>
      </c>
      <c r="D107" s="3" t="s">
        <v>274</v>
      </c>
      <c r="E107" s="3" t="s">
        <v>266</v>
      </c>
      <c r="F107" s="3" t="s">
        <v>267</v>
      </c>
      <c r="G107" s="3" t="s">
        <v>268</v>
      </c>
      <c r="H107" s="3" t="s">
        <v>269</v>
      </c>
      <c r="I107" s="3" t="s">
        <v>270</v>
      </c>
      <c r="J107" s="3" t="s">
        <v>271</v>
      </c>
      <c r="K107" s="5" t="str">
        <f>IFERROR(__xludf.DUMMYFUNCTION("JOIN("" "", D107:J107)"),"İşçi sorumluları soğuk kış havasından ötürü hastalandılar.")</f>
        <v>İşçi sorumluları soğuk kış havasından ötürü hastalandılar.</v>
      </c>
    </row>
    <row r="108">
      <c r="A108" s="8">
        <v>18.0</v>
      </c>
      <c r="B108" s="3" t="s">
        <v>30</v>
      </c>
      <c r="C108" s="3" t="s">
        <v>23</v>
      </c>
      <c r="D108" s="3" t="s">
        <v>275</v>
      </c>
      <c r="E108" s="3" t="s">
        <v>273</v>
      </c>
      <c r="F108" s="3" t="s">
        <v>267</v>
      </c>
      <c r="G108" s="3" t="s">
        <v>268</v>
      </c>
      <c r="H108" s="3" t="s">
        <v>269</v>
      </c>
      <c r="I108" s="3" t="s">
        <v>270</v>
      </c>
      <c r="J108" s="3" t="s">
        <v>271</v>
      </c>
      <c r="K108" s="5" t="str">
        <f>IFERROR(__xludf.DUMMYFUNCTION("JOIN("" "", D108:J108)"),"İşçiler sorumlusu soğuk kış havasından ötürü hastalandılar.")</f>
        <v>İşçiler sorumlusu soğuk kış havasından ötürü hastalandılar.</v>
      </c>
    </row>
    <row r="109">
      <c r="A109" s="8">
        <v>18.0</v>
      </c>
      <c r="B109" s="3" t="s">
        <v>30</v>
      </c>
      <c r="C109" s="3" t="s">
        <v>28</v>
      </c>
      <c r="D109" s="3" t="s">
        <v>274</v>
      </c>
      <c r="E109" s="3" t="s">
        <v>273</v>
      </c>
      <c r="F109" s="3" t="s">
        <v>267</v>
      </c>
      <c r="G109" s="3" t="s">
        <v>268</v>
      </c>
      <c r="H109" s="3" t="s">
        <v>269</v>
      </c>
      <c r="I109" s="3" t="s">
        <v>270</v>
      </c>
      <c r="J109" s="3" t="s">
        <v>271</v>
      </c>
      <c r="K109" s="5" t="str">
        <f>IFERROR(__xludf.DUMMYFUNCTION("JOIN("" "", D109:J109)"),"İşçi sorumlusu soğuk kış havasından ötürü hastalandılar.")</f>
        <v>İşçi sorumlusu soğuk kış havasından ötürü hastalandılar.</v>
      </c>
    </row>
    <row r="110">
      <c r="A110" s="8">
        <v>19.0</v>
      </c>
      <c r="B110" s="3" t="s">
        <v>11</v>
      </c>
      <c r="C110" s="3" t="s">
        <v>12</v>
      </c>
      <c r="D110" s="3" t="s">
        <v>276</v>
      </c>
      <c r="E110" s="3" t="s">
        <v>277</v>
      </c>
      <c r="F110" s="3" t="s">
        <v>278</v>
      </c>
      <c r="G110" s="3" t="s">
        <v>279</v>
      </c>
      <c r="H110" s="3" t="s">
        <v>280</v>
      </c>
      <c r="I110" s="3" t="s">
        <v>248</v>
      </c>
      <c r="J110" s="3" t="s">
        <v>281</v>
      </c>
      <c r="K110" s="5" t="str">
        <f>IFERROR(__xludf.DUMMYFUNCTION("JOIN("" "", D110:J110)"),"Bankacının analistleri büyük ölçekte veri karşısında zorlandılar.")</f>
        <v>Bankacının analistleri büyük ölçekte veri karşısında zorlandılar.</v>
      </c>
    </row>
    <row r="111">
      <c r="A111" s="8">
        <v>19.0</v>
      </c>
      <c r="B111" s="3" t="s">
        <v>11</v>
      </c>
      <c r="C111" s="3" t="s">
        <v>23</v>
      </c>
      <c r="D111" s="3" t="s">
        <v>282</v>
      </c>
      <c r="E111" s="3" t="s">
        <v>283</v>
      </c>
      <c r="F111" s="3" t="s">
        <v>278</v>
      </c>
      <c r="G111" s="3" t="s">
        <v>279</v>
      </c>
      <c r="H111" s="3" t="s">
        <v>280</v>
      </c>
      <c r="I111" s="3" t="s">
        <v>248</v>
      </c>
      <c r="J111" s="3" t="s">
        <v>281</v>
      </c>
      <c r="K111" s="5" t="str">
        <f>IFERROR(__xludf.DUMMYFUNCTION("JOIN("" "", D111:J111)"),"Bankacıların analisti büyük ölçekte veri karşısında zorlandılar.")</f>
        <v>Bankacıların analisti büyük ölçekte veri karşısında zorlandılar.</v>
      </c>
    </row>
    <row r="112">
      <c r="A112" s="8">
        <v>19.0</v>
      </c>
      <c r="B112" s="3" t="s">
        <v>11</v>
      </c>
      <c r="C112" s="3" t="s">
        <v>28</v>
      </c>
      <c r="D112" s="3" t="s">
        <v>276</v>
      </c>
      <c r="E112" s="3" t="s">
        <v>283</v>
      </c>
      <c r="F112" s="3" t="s">
        <v>278</v>
      </c>
      <c r="G112" s="3" t="s">
        <v>279</v>
      </c>
      <c r="H112" s="3" t="s">
        <v>280</v>
      </c>
      <c r="I112" s="3" t="s">
        <v>248</v>
      </c>
      <c r="J112" s="3" t="s">
        <v>281</v>
      </c>
      <c r="K112" s="5" t="str">
        <f>IFERROR(__xludf.DUMMYFUNCTION("JOIN("" "", D112:J112)"),"Bankacının analisti büyük ölçekte veri karşısında zorlandılar.")</f>
        <v>Bankacının analisti büyük ölçekte veri karşısında zorlandılar.</v>
      </c>
    </row>
    <row r="113">
      <c r="A113" s="8">
        <v>19.0</v>
      </c>
      <c r="B113" s="3" t="s">
        <v>30</v>
      </c>
      <c r="C113" s="3" t="s">
        <v>12</v>
      </c>
      <c r="D113" s="3" t="s">
        <v>284</v>
      </c>
      <c r="E113" s="3" t="s">
        <v>277</v>
      </c>
      <c r="F113" s="3" t="s">
        <v>278</v>
      </c>
      <c r="G113" s="3" t="s">
        <v>279</v>
      </c>
      <c r="H113" s="3" t="s">
        <v>280</v>
      </c>
      <c r="I113" s="3" t="s">
        <v>248</v>
      </c>
      <c r="J113" s="3" t="s">
        <v>281</v>
      </c>
      <c r="K113" s="5" t="str">
        <f>IFERROR(__xludf.DUMMYFUNCTION("JOIN("" "", D113:J113)"),"Bankacı analistleri büyük ölçekte veri karşısında zorlandılar.")</f>
        <v>Bankacı analistleri büyük ölçekte veri karşısında zorlandılar.</v>
      </c>
    </row>
    <row r="114">
      <c r="A114" s="8">
        <v>19.0</v>
      </c>
      <c r="B114" s="3" t="s">
        <v>30</v>
      </c>
      <c r="C114" s="3" t="s">
        <v>23</v>
      </c>
      <c r="D114" s="3" t="s">
        <v>285</v>
      </c>
      <c r="E114" s="3" t="s">
        <v>283</v>
      </c>
      <c r="F114" s="3" t="s">
        <v>278</v>
      </c>
      <c r="G114" s="3" t="s">
        <v>279</v>
      </c>
      <c r="H114" s="3" t="s">
        <v>280</v>
      </c>
      <c r="I114" s="3" t="s">
        <v>248</v>
      </c>
      <c r="J114" s="3" t="s">
        <v>281</v>
      </c>
      <c r="K114" s="5" t="str">
        <f>IFERROR(__xludf.DUMMYFUNCTION("JOIN("" "", D114:J114)"),"Bankacılar analisti büyük ölçekte veri karşısında zorlandılar.")</f>
        <v>Bankacılar analisti büyük ölçekte veri karşısında zorlandılar.</v>
      </c>
    </row>
    <row r="115">
      <c r="A115" s="8">
        <v>19.0</v>
      </c>
      <c r="B115" s="3" t="s">
        <v>30</v>
      </c>
      <c r="C115" s="3" t="s">
        <v>28</v>
      </c>
      <c r="D115" s="3" t="s">
        <v>284</v>
      </c>
      <c r="E115" s="3" t="s">
        <v>283</v>
      </c>
      <c r="F115" s="3" t="s">
        <v>278</v>
      </c>
      <c r="G115" s="3" t="s">
        <v>279</v>
      </c>
      <c r="H115" s="3" t="s">
        <v>280</v>
      </c>
      <c r="I115" s="3" t="s">
        <v>248</v>
      </c>
      <c r="J115" s="3" t="s">
        <v>281</v>
      </c>
      <c r="K115" s="5" t="str">
        <f>IFERROR(__xludf.DUMMYFUNCTION("JOIN("" "", D115:J115)"),"Bankacı analisti büyük ölçekte veri karşısında zorlandılar.")</f>
        <v>Bankacı analisti büyük ölçekte veri karşısında zorlandılar.</v>
      </c>
    </row>
    <row r="116">
      <c r="A116" s="3">
        <v>20.0</v>
      </c>
      <c r="B116" s="3" t="s">
        <v>11</v>
      </c>
      <c r="C116" s="3" t="s">
        <v>12</v>
      </c>
      <c r="D116" s="3" t="s">
        <v>286</v>
      </c>
      <c r="E116" s="3" t="s">
        <v>287</v>
      </c>
      <c r="F116" s="3" t="s">
        <v>288</v>
      </c>
      <c r="G116" s="3" t="s">
        <v>289</v>
      </c>
      <c r="H116" s="3" t="s">
        <v>290</v>
      </c>
      <c r="I116" s="3" t="s">
        <v>291</v>
      </c>
      <c r="J116" s="3" t="s">
        <v>292</v>
      </c>
      <c r="K116" s="5" t="str">
        <f>IFERROR(__xludf.DUMMYFUNCTION("JOIN("" "", D116:J116)"),"Yazılımcının direktörleri daha etkili bir özet yazdılar.")</f>
        <v>Yazılımcının direktörleri daha etkili bir özet yazdılar.</v>
      </c>
    </row>
    <row r="117">
      <c r="A117" s="3">
        <v>20.0</v>
      </c>
      <c r="B117" s="3" t="s">
        <v>11</v>
      </c>
      <c r="C117" s="3" t="s">
        <v>23</v>
      </c>
      <c r="D117" s="3" t="s">
        <v>293</v>
      </c>
      <c r="E117" s="3" t="s">
        <v>294</v>
      </c>
      <c r="F117" s="3" t="s">
        <v>288</v>
      </c>
      <c r="G117" s="3" t="s">
        <v>289</v>
      </c>
      <c r="H117" s="3" t="s">
        <v>290</v>
      </c>
      <c r="I117" s="3" t="s">
        <v>291</v>
      </c>
      <c r="J117" s="3" t="s">
        <v>292</v>
      </c>
      <c r="K117" s="5" t="str">
        <f>IFERROR(__xludf.DUMMYFUNCTION("JOIN("" "", D117:J117)"),"Yazılımcıların direktörü daha etkili bir özet yazdılar.")</f>
        <v>Yazılımcıların direktörü daha etkili bir özet yazdılar.</v>
      </c>
    </row>
    <row r="118">
      <c r="A118" s="3">
        <v>20.0</v>
      </c>
      <c r="B118" s="3" t="s">
        <v>11</v>
      </c>
      <c r="C118" s="3" t="s">
        <v>28</v>
      </c>
      <c r="D118" s="3" t="s">
        <v>286</v>
      </c>
      <c r="E118" s="3" t="s">
        <v>294</v>
      </c>
      <c r="F118" s="3" t="s">
        <v>288</v>
      </c>
      <c r="G118" s="3" t="s">
        <v>289</v>
      </c>
      <c r="H118" s="3" t="s">
        <v>290</v>
      </c>
      <c r="I118" s="3" t="s">
        <v>291</v>
      </c>
      <c r="J118" s="3" t="s">
        <v>292</v>
      </c>
      <c r="K118" s="5" t="str">
        <f>IFERROR(__xludf.DUMMYFUNCTION("JOIN("" "", D118:J118)"),"Yazılımcının direktörü daha etkili bir özet yazdılar.")</f>
        <v>Yazılımcının direktörü daha etkili bir özet yazdılar.</v>
      </c>
    </row>
    <row r="119">
      <c r="A119" s="3">
        <v>20.0</v>
      </c>
      <c r="B119" s="3" t="s">
        <v>30</v>
      </c>
      <c r="C119" s="3" t="s">
        <v>12</v>
      </c>
      <c r="D119" s="3" t="s">
        <v>295</v>
      </c>
      <c r="E119" s="3" t="s">
        <v>287</v>
      </c>
      <c r="F119" s="3" t="s">
        <v>288</v>
      </c>
      <c r="G119" s="3" t="s">
        <v>289</v>
      </c>
      <c r="H119" s="3" t="s">
        <v>290</v>
      </c>
      <c r="I119" s="3" t="s">
        <v>291</v>
      </c>
      <c r="J119" s="3" t="s">
        <v>292</v>
      </c>
      <c r="K119" s="5" t="str">
        <f>IFERROR(__xludf.DUMMYFUNCTION("JOIN("" "", D119:J119)"),"Yazılımcı direktörleri daha etkili bir özet yazdılar.")</f>
        <v>Yazılımcı direktörleri daha etkili bir özet yazdılar.</v>
      </c>
    </row>
    <row r="120">
      <c r="A120" s="3">
        <v>20.0</v>
      </c>
      <c r="B120" s="3" t="s">
        <v>30</v>
      </c>
      <c r="C120" s="3" t="s">
        <v>23</v>
      </c>
      <c r="D120" s="3" t="s">
        <v>296</v>
      </c>
      <c r="E120" s="3" t="s">
        <v>294</v>
      </c>
      <c r="F120" s="3" t="s">
        <v>288</v>
      </c>
      <c r="G120" s="3" t="s">
        <v>289</v>
      </c>
      <c r="H120" s="3" t="s">
        <v>290</v>
      </c>
      <c r="I120" s="3" t="s">
        <v>291</v>
      </c>
      <c r="J120" s="3" t="s">
        <v>292</v>
      </c>
      <c r="K120" s="5" t="str">
        <f>IFERROR(__xludf.DUMMYFUNCTION("JOIN("" "", D120:J120)"),"Yazılımcılar direktörü daha etkili bir özet yazdılar.")</f>
        <v>Yazılımcılar direktörü daha etkili bir özet yazdılar.</v>
      </c>
    </row>
    <row r="121">
      <c r="A121" s="3">
        <v>20.0</v>
      </c>
      <c r="B121" s="3" t="s">
        <v>30</v>
      </c>
      <c r="C121" s="3" t="s">
        <v>28</v>
      </c>
      <c r="D121" s="3" t="s">
        <v>295</v>
      </c>
      <c r="E121" s="3" t="s">
        <v>294</v>
      </c>
      <c r="F121" s="3" t="s">
        <v>288</v>
      </c>
      <c r="G121" s="3" t="s">
        <v>289</v>
      </c>
      <c r="H121" s="3" t="s">
        <v>290</v>
      </c>
      <c r="I121" s="3" t="s">
        <v>291</v>
      </c>
      <c r="J121" s="3" t="s">
        <v>292</v>
      </c>
      <c r="K121" s="5" t="str">
        <f>IFERROR(__xludf.DUMMYFUNCTION("JOIN("" "", D121:J121)"),"Yazılımcı direktörü daha etkili bir özet yazdılar.")</f>
        <v>Yazılımcı direktörü daha etkili bir özet yazdılar.</v>
      </c>
    </row>
    <row r="122">
      <c r="A122" s="3">
        <v>21.0</v>
      </c>
      <c r="B122" s="3" t="s">
        <v>11</v>
      </c>
      <c r="C122" s="3" t="s">
        <v>12</v>
      </c>
      <c r="D122" s="3" t="s">
        <v>265</v>
      </c>
      <c r="E122" s="3" t="s">
        <v>297</v>
      </c>
      <c r="F122" s="3" t="s">
        <v>298</v>
      </c>
      <c r="G122" s="3" t="s">
        <v>299</v>
      </c>
      <c r="H122" s="3" t="s">
        <v>300</v>
      </c>
      <c r="I122" s="3" t="s">
        <v>301</v>
      </c>
      <c r="J122" s="3" t="s">
        <v>302</v>
      </c>
      <c r="K122" s="5" t="str">
        <f>IFERROR(__xludf.DUMMYFUNCTION("JOIN("" "", D122:J122)"),"İşçinin  denetçileri tüm  üretim  aşamasını dikkatle izlediler.")</f>
        <v>İşçinin  denetçileri tüm  üretim  aşamasını dikkatle izlediler.</v>
      </c>
    </row>
    <row r="123">
      <c r="A123" s="3">
        <v>21.0</v>
      </c>
      <c r="B123" s="3" t="s">
        <v>11</v>
      </c>
      <c r="C123" s="3" t="s">
        <v>23</v>
      </c>
      <c r="D123" s="3" t="s">
        <v>272</v>
      </c>
      <c r="E123" s="3" t="s">
        <v>303</v>
      </c>
      <c r="F123" s="3" t="s">
        <v>298</v>
      </c>
      <c r="G123" s="3" t="s">
        <v>299</v>
      </c>
      <c r="H123" s="3" t="s">
        <v>300</v>
      </c>
      <c r="I123" s="3" t="s">
        <v>301</v>
      </c>
      <c r="J123" s="3" t="s">
        <v>302</v>
      </c>
      <c r="K123" s="5" t="str">
        <f>IFERROR(__xludf.DUMMYFUNCTION("JOIN("" "", D123:J123)"),"İşçilerin denetçisi tüm  üretim  aşamasını dikkatle izlediler.")</f>
        <v>İşçilerin denetçisi tüm  üretim  aşamasını dikkatle izlediler.</v>
      </c>
    </row>
    <row r="124">
      <c r="A124" s="3">
        <v>21.0</v>
      </c>
      <c r="B124" s="3" t="s">
        <v>11</v>
      </c>
      <c r="C124" s="3" t="s">
        <v>28</v>
      </c>
      <c r="D124" s="3" t="s">
        <v>265</v>
      </c>
      <c r="E124" s="3" t="s">
        <v>303</v>
      </c>
      <c r="F124" s="3" t="s">
        <v>298</v>
      </c>
      <c r="G124" s="3" t="s">
        <v>299</v>
      </c>
      <c r="H124" s="3" t="s">
        <v>300</v>
      </c>
      <c r="I124" s="3" t="s">
        <v>301</v>
      </c>
      <c r="J124" s="3" t="s">
        <v>302</v>
      </c>
      <c r="K124" s="5" t="str">
        <f>IFERROR(__xludf.DUMMYFUNCTION("JOIN("" "", D124:J124)"),"İşçinin  denetçisi tüm  üretim  aşamasını dikkatle izlediler.")</f>
        <v>İşçinin  denetçisi tüm  üretim  aşamasını dikkatle izlediler.</v>
      </c>
    </row>
    <row r="125">
      <c r="A125" s="3">
        <v>21.0</v>
      </c>
      <c r="B125" s="3" t="s">
        <v>30</v>
      </c>
      <c r="C125" s="3" t="s">
        <v>12</v>
      </c>
      <c r="D125" s="3" t="s">
        <v>274</v>
      </c>
      <c r="E125" s="3" t="s">
        <v>297</v>
      </c>
      <c r="F125" s="3" t="s">
        <v>298</v>
      </c>
      <c r="G125" s="3" t="s">
        <v>299</v>
      </c>
      <c r="H125" s="3" t="s">
        <v>300</v>
      </c>
      <c r="I125" s="3" t="s">
        <v>301</v>
      </c>
      <c r="J125" s="3" t="s">
        <v>302</v>
      </c>
      <c r="K125" s="5" t="str">
        <f>IFERROR(__xludf.DUMMYFUNCTION("JOIN("" "", D125:J125)"),"İşçi denetçileri tüm  üretim  aşamasını dikkatle izlediler.")</f>
        <v>İşçi denetçileri tüm  üretim  aşamasını dikkatle izlediler.</v>
      </c>
    </row>
    <row r="126">
      <c r="A126" s="3">
        <v>21.0</v>
      </c>
      <c r="B126" s="3" t="s">
        <v>30</v>
      </c>
      <c r="C126" s="3" t="s">
        <v>23</v>
      </c>
      <c r="D126" s="3" t="s">
        <v>275</v>
      </c>
      <c r="E126" s="3" t="s">
        <v>303</v>
      </c>
      <c r="F126" s="3" t="s">
        <v>298</v>
      </c>
      <c r="G126" s="3" t="s">
        <v>299</v>
      </c>
      <c r="H126" s="3" t="s">
        <v>300</v>
      </c>
      <c r="I126" s="3" t="s">
        <v>301</v>
      </c>
      <c r="J126" s="3" t="s">
        <v>302</v>
      </c>
      <c r="K126" s="5" t="str">
        <f>IFERROR(__xludf.DUMMYFUNCTION("JOIN("" "", D126:J126)"),"İşçiler denetçisi tüm  üretim  aşamasını dikkatle izlediler.")</f>
        <v>İşçiler denetçisi tüm  üretim  aşamasını dikkatle izlediler.</v>
      </c>
    </row>
    <row r="127">
      <c r="A127" s="3">
        <v>21.0</v>
      </c>
      <c r="B127" s="3" t="s">
        <v>30</v>
      </c>
      <c r="C127" s="3" t="s">
        <v>28</v>
      </c>
      <c r="D127" s="3" t="s">
        <v>274</v>
      </c>
      <c r="E127" s="3" t="s">
        <v>303</v>
      </c>
      <c r="F127" s="3" t="s">
        <v>298</v>
      </c>
      <c r="G127" s="3" t="s">
        <v>299</v>
      </c>
      <c r="H127" s="3" t="s">
        <v>300</v>
      </c>
      <c r="I127" s="3" t="s">
        <v>301</v>
      </c>
      <c r="J127" s="3" t="s">
        <v>302</v>
      </c>
      <c r="K127" s="5" t="str">
        <f>IFERROR(__xludf.DUMMYFUNCTION("JOIN("" "", D127:J127)"),"İşçi denetçisi tüm  üretim  aşamasını dikkatle izlediler.")</f>
        <v>İşçi denetçisi tüm  üretim  aşamasını dikkatle izlediler.</v>
      </c>
    </row>
    <row r="128">
      <c r="A128" s="3">
        <v>22.0</v>
      </c>
      <c r="B128" s="3" t="s">
        <v>11</v>
      </c>
      <c r="C128" s="3" t="s">
        <v>12</v>
      </c>
      <c r="D128" s="3" t="s">
        <v>235</v>
      </c>
      <c r="E128" s="3" t="s">
        <v>304</v>
      </c>
      <c r="F128" s="3" t="s">
        <v>84</v>
      </c>
      <c r="G128" s="3" t="s">
        <v>305</v>
      </c>
      <c r="H128" s="3" t="s">
        <v>306</v>
      </c>
      <c r="I128" s="3" t="s">
        <v>307</v>
      </c>
      <c r="J128" s="3" t="s">
        <v>308</v>
      </c>
      <c r="K128" s="5" t="str">
        <f>IFERROR(__xludf.DUMMYFUNCTION("JOIN("" "", D128:J128)"),"Engellinin savunucuları yeni bildirgeyi yüksek sesle okudular.")</f>
        <v>Engellinin savunucuları yeni bildirgeyi yüksek sesle okudular.</v>
      </c>
    </row>
    <row r="129">
      <c r="A129" s="3">
        <v>22.0</v>
      </c>
      <c r="B129" s="3" t="s">
        <v>11</v>
      </c>
      <c r="C129" s="3" t="s">
        <v>23</v>
      </c>
      <c r="D129" s="3" t="s">
        <v>241</v>
      </c>
      <c r="E129" s="3" t="s">
        <v>309</v>
      </c>
      <c r="F129" s="3" t="s">
        <v>84</v>
      </c>
      <c r="G129" s="3" t="s">
        <v>305</v>
      </c>
      <c r="H129" s="3" t="s">
        <v>306</v>
      </c>
      <c r="I129" s="3" t="s">
        <v>307</v>
      </c>
      <c r="J129" s="3" t="s">
        <v>308</v>
      </c>
      <c r="K129" s="5" t="str">
        <f>IFERROR(__xludf.DUMMYFUNCTION("JOIN("" "", D129:J129)"),"Engellilerin savunucusu yeni bildirgeyi yüksek sesle okudular.")</f>
        <v>Engellilerin savunucusu yeni bildirgeyi yüksek sesle okudular.</v>
      </c>
    </row>
    <row r="130">
      <c r="A130" s="3">
        <v>22.0</v>
      </c>
      <c r="B130" s="3" t="s">
        <v>11</v>
      </c>
      <c r="C130" s="3" t="s">
        <v>28</v>
      </c>
      <c r="D130" s="3" t="s">
        <v>235</v>
      </c>
      <c r="E130" s="3" t="s">
        <v>309</v>
      </c>
      <c r="F130" s="3" t="s">
        <v>84</v>
      </c>
      <c r="G130" s="3" t="s">
        <v>305</v>
      </c>
      <c r="H130" s="3" t="s">
        <v>306</v>
      </c>
      <c r="I130" s="3" t="s">
        <v>307</v>
      </c>
      <c r="J130" s="3" t="s">
        <v>308</v>
      </c>
      <c r="K130" s="5" t="str">
        <f>IFERROR(__xludf.DUMMYFUNCTION("JOIN("" "", D130:J130)"),"Engellinin savunucusu yeni bildirgeyi yüksek sesle okudular.")</f>
        <v>Engellinin savunucusu yeni bildirgeyi yüksek sesle okudular.</v>
      </c>
    </row>
    <row r="131">
      <c r="A131" s="3">
        <v>22.0</v>
      </c>
      <c r="B131" s="3" t="s">
        <v>30</v>
      </c>
      <c r="C131" s="3" t="s">
        <v>12</v>
      </c>
      <c r="D131" s="3" t="s">
        <v>242</v>
      </c>
      <c r="E131" s="3" t="s">
        <v>304</v>
      </c>
      <c r="F131" s="3" t="s">
        <v>84</v>
      </c>
      <c r="G131" s="3" t="s">
        <v>305</v>
      </c>
      <c r="H131" s="3" t="s">
        <v>306</v>
      </c>
      <c r="I131" s="3" t="s">
        <v>307</v>
      </c>
      <c r="J131" s="3" t="s">
        <v>308</v>
      </c>
      <c r="K131" s="5" t="str">
        <f>IFERROR(__xludf.DUMMYFUNCTION("JOIN("" "", D131:J131)"),"Engelli savunucuları yeni bildirgeyi yüksek sesle okudular.")</f>
        <v>Engelli savunucuları yeni bildirgeyi yüksek sesle okudular.</v>
      </c>
    </row>
    <row r="132">
      <c r="A132" s="3">
        <v>22.0</v>
      </c>
      <c r="B132" s="3" t="s">
        <v>30</v>
      </c>
      <c r="C132" s="3" t="s">
        <v>23</v>
      </c>
      <c r="D132" s="3" t="s">
        <v>243</v>
      </c>
      <c r="E132" s="3" t="s">
        <v>309</v>
      </c>
      <c r="F132" s="3" t="s">
        <v>84</v>
      </c>
      <c r="G132" s="3" t="s">
        <v>305</v>
      </c>
      <c r="H132" s="3" t="s">
        <v>306</v>
      </c>
      <c r="I132" s="3" t="s">
        <v>307</v>
      </c>
      <c r="J132" s="3" t="s">
        <v>308</v>
      </c>
      <c r="K132" s="5" t="str">
        <f>IFERROR(__xludf.DUMMYFUNCTION("JOIN("" "", D132:J132)"),"Engelliler savunucusu yeni bildirgeyi yüksek sesle okudular.")</f>
        <v>Engelliler savunucusu yeni bildirgeyi yüksek sesle okudular.</v>
      </c>
    </row>
    <row r="133">
      <c r="A133" s="3">
        <v>22.0</v>
      </c>
      <c r="B133" s="3" t="s">
        <v>30</v>
      </c>
      <c r="C133" s="3" t="s">
        <v>28</v>
      </c>
      <c r="D133" s="3" t="s">
        <v>242</v>
      </c>
      <c r="E133" s="3" t="s">
        <v>309</v>
      </c>
      <c r="F133" s="3" t="s">
        <v>84</v>
      </c>
      <c r="G133" s="3" t="s">
        <v>305</v>
      </c>
      <c r="H133" s="3" t="s">
        <v>306</v>
      </c>
      <c r="I133" s="3" t="s">
        <v>307</v>
      </c>
      <c r="J133" s="3" t="s">
        <v>308</v>
      </c>
      <c r="K133" s="5" t="str">
        <f>IFERROR(__xludf.DUMMYFUNCTION("JOIN("" "", D133:J133)"),"Engelli savunucusu yeni bildirgeyi yüksek sesle okudular.")</f>
        <v>Engelli savunucusu yeni bildirgeyi yüksek sesle okudular.</v>
      </c>
    </row>
    <row r="134">
      <c r="A134" s="3">
        <v>23.0</v>
      </c>
      <c r="B134" s="3" t="s">
        <v>11</v>
      </c>
      <c r="C134" s="3" t="s">
        <v>12</v>
      </c>
      <c r="D134" s="3" t="s">
        <v>310</v>
      </c>
      <c r="E134" s="3" t="s">
        <v>311</v>
      </c>
      <c r="F134" s="3" t="s">
        <v>312</v>
      </c>
      <c r="G134" s="3" t="s">
        <v>313</v>
      </c>
      <c r="H134" s="3" t="s">
        <v>314</v>
      </c>
      <c r="I134" s="3" t="s">
        <v>315</v>
      </c>
      <c r="J134" s="3" t="s">
        <v>316</v>
      </c>
      <c r="K134" s="5" t="str">
        <f>IFERROR(__xludf.DUMMYFUNCTION("JOIN("" "", D134:J134)"),"Personelin müfettişleri işyerindeki derli toplu sistemi beğendiler.")</f>
        <v>Personelin müfettişleri işyerindeki derli toplu sistemi beğendiler.</v>
      </c>
    </row>
    <row r="135">
      <c r="A135" s="3">
        <v>23.0</v>
      </c>
      <c r="B135" s="3" t="s">
        <v>11</v>
      </c>
      <c r="C135" s="3" t="s">
        <v>23</v>
      </c>
      <c r="D135" s="3" t="s">
        <v>317</v>
      </c>
      <c r="E135" s="3" t="s">
        <v>318</v>
      </c>
      <c r="F135" s="3" t="s">
        <v>312</v>
      </c>
      <c r="G135" s="3" t="s">
        <v>313</v>
      </c>
      <c r="H135" s="3" t="s">
        <v>314</v>
      </c>
      <c r="I135" s="3" t="s">
        <v>315</v>
      </c>
      <c r="J135" s="3" t="s">
        <v>316</v>
      </c>
      <c r="K135" s="5" t="str">
        <f>IFERROR(__xludf.DUMMYFUNCTION("JOIN("" "", D135:J135)"),"Personellerin müfettişi işyerindeki derli toplu sistemi beğendiler.")</f>
        <v>Personellerin müfettişi işyerindeki derli toplu sistemi beğendiler.</v>
      </c>
    </row>
    <row r="136">
      <c r="A136" s="3">
        <v>23.0</v>
      </c>
      <c r="B136" s="3" t="s">
        <v>11</v>
      </c>
      <c r="C136" s="3" t="s">
        <v>28</v>
      </c>
      <c r="D136" s="3" t="s">
        <v>310</v>
      </c>
      <c r="E136" s="3" t="s">
        <v>318</v>
      </c>
      <c r="F136" s="3" t="s">
        <v>312</v>
      </c>
      <c r="G136" s="3" t="s">
        <v>313</v>
      </c>
      <c r="H136" s="3" t="s">
        <v>314</v>
      </c>
      <c r="I136" s="3" t="s">
        <v>315</v>
      </c>
      <c r="J136" s="3" t="s">
        <v>316</v>
      </c>
      <c r="K136" s="5" t="str">
        <f>IFERROR(__xludf.DUMMYFUNCTION("JOIN("" "", D136:J136)"),"Personelin müfettişi işyerindeki derli toplu sistemi beğendiler.")</f>
        <v>Personelin müfettişi işyerindeki derli toplu sistemi beğendiler.</v>
      </c>
    </row>
    <row r="137">
      <c r="A137" s="3">
        <v>23.0</v>
      </c>
      <c r="B137" s="3" t="s">
        <v>30</v>
      </c>
      <c r="C137" s="3" t="s">
        <v>12</v>
      </c>
      <c r="D137" s="3" t="s">
        <v>319</v>
      </c>
      <c r="E137" s="3" t="s">
        <v>311</v>
      </c>
      <c r="F137" s="3" t="s">
        <v>312</v>
      </c>
      <c r="G137" s="3" t="s">
        <v>313</v>
      </c>
      <c r="H137" s="3" t="s">
        <v>314</v>
      </c>
      <c r="I137" s="3" t="s">
        <v>315</v>
      </c>
      <c r="J137" s="3" t="s">
        <v>316</v>
      </c>
      <c r="K137" s="5" t="str">
        <f>IFERROR(__xludf.DUMMYFUNCTION("JOIN("" "", D137:J137)"),"Personel müfettişleri işyerindeki derli toplu sistemi beğendiler.")</f>
        <v>Personel müfettişleri işyerindeki derli toplu sistemi beğendiler.</v>
      </c>
    </row>
    <row r="138">
      <c r="A138" s="3">
        <v>23.0</v>
      </c>
      <c r="B138" s="3" t="s">
        <v>30</v>
      </c>
      <c r="C138" s="3" t="s">
        <v>23</v>
      </c>
      <c r="D138" s="3" t="s">
        <v>320</v>
      </c>
      <c r="E138" s="3" t="s">
        <v>318</v>
      </c>
      <c r="F138" s="3" t="s">
        <v>312</v>
      </c>
      <c r="G138" s="3" t="s">
        <v>313</v>
      </c>
      <c r="H138" s="3" t="s">
        <v>314</v>
      </c>
      <c r="I138" s="3" t="s">
        <v>315</v>
      </c>
      <c r="J138" s="3" t="s">
        <v>316</v>
      </c>
      <c r="K138" s="5" t="str">
        <f>IFERROR(__xludf.DUMMYFUNCTION("JOIN("" "", D138:J138)"),"Personeller müfettişi işyerindeki derli toplu sistemi beğendiler.")</f>
        <v>Personeller müfettişi işyerindeki derli toplu sistemi beğendiler.</v>
      </c>
    </row>
    <row r="139">
      <c r="A139" s="3">
        <v>23.0</v>
      </c>
      <c r="B139" s="3" t="s">
        <v>30</v>
      </c>
      <c r="C139" s="3" t="s">
        <v>28</v>
      </c>
      <c r="D139" s="3" t="s">
        <v>319</v>
      </c>
      <c r="E139" s="3" t="s">
        <v>318</v>
      </c>
      <c r="F139" s="3" t="s">
        <v>312</v>
      </c>
      <c r="G139" s="3" t="s">
        <v>313</v>
      </c>
      <c r="H139" s="3" t="s">
        <v>314</v>
      </c>
      <c r="I139" s="3" t="s">
        <v>315</v>
      </c>
      <c r="J139" s="3" t="s">
        <v>316</v>
      </c>
      <c r="K139" s="5" t="str">
        <f>IFERROR(__xludf.DUMMYFUNCTION("JOIN("" "", D139:J139)"),"Personel müfettişi işyerindeki derli toplu sistemi beğendiler.")</f>
        <v>Personel müfettişi işyerindeki derli toplu sistemi beğendiler.</v>
      </c>
    </row>
    <row r="140">
      <c r="A140" s="3">
        <v>24.0</v>
      </c>
      <c r="B140" s="3" t="s">
        <v>11</v>
      </c>
      <c r="C140" s="3" t="s">
        <v>12</v>
      </c>
      <c r="D140" s="3" t="s">
        <v>321</v>
      </c>
      <c r="E140" s="3" t="s">
        <v>322</v>
      </c>
      <c r="F140" s="3" t="s">
        <v>16</v>
      </c>
      <c r="G140" s="3" t="s">
        <v>323</v>
      </c>
      <c r="H140" s="3" t="s">
        <v>324</v>
      </c>
      <c r="I140" s="3" t="s">
        <v>63</v>
      </c>
      <c r="J140" s="3" t="s">
        <v>129</v>
      </c>
      <c r="K140" s="5" t="str">
        <f>IFERROR(__xludf.DUMMYFUNCTION("JOIN("" "", D140:J140)"),"Kiracının arabulucuları hafta boyu sözleşme için çalıştılar.")</f>
        <v>Kiracının arabulucuları hafta boyu sözleşme için çalıştılar.</v>
      </c>
    </row>
    <row r="141">
      <c r="A141" s="3">
        <v>24.0</v>
      </c>
      <c r="B141" s="3" t="s">
        <v>11</v>
      </c>
      <c r="C141" s="3" t="s">
        <v>23</v>
      </c>
      <c r="D141" s="3" t="s">
        <v>325</v>
      </c>
      <c r="E141" s="3" t="s">
        <v>143</v>
      </c>
      <c r="F141" s="3" t="s">
        <v>16</v>
      </c>
      <c r="G141" s="3" t="s">
        <v>323</v>
      </c>
      <c r="H141" s="3" t="s">
        <v>324</v>
      </c>
      <c r="I141" s="3" t="s">
        <v>63</v>
      </c>
      <c r="J141" s="3" t="s">
        <v>129</v>
      </c>
      <c r="K141" s="5" t="str">
        <f>IFERROR(__xludf.DUMMYFUNCTION("JOIN("" "", D141:J141)"),"Kiracıların arabulucusu hafta boyu sözleşme için çalıştılar.")</f>
        <v>Kiracıların arabulucusu hafta boyu sözleşme için çalıştılar.</v>
      </c>
    </row>
    <row r="142">
      <c r="A142" s="3">
        <v>24.0</v>
      </c>
      <c r="B142" s="3" t="s">
        <v>11</v>
      </c>
      <c r="C142" s="3" t="s">
        <v>28</v>
      </c>
      <c r="D142" s="3" t="s">
        <v>321</v>
      </c>
      <c r="E142" s="3" t="s">
        <v>143</v>
      </c>
      <c r="F142" s="3" t="s">
        <v>16</v>
      </c>
      <c r="G142" s="3" t="s">
        <v>323</v>
      </c>
      <c r="H142" s="3" t="s">
        <v>324</v>
      </c>
      <c r="I142" s="3" t="s">
        <v>63</v>
      </c>
      <c r="J142" s="3" t="s">
        <v>129</v>
      </c>
      <c r="K142" s="5" t="str">
        <f>IFERROR(__xludf.DUMMYFUNCTION("JOIN("" "", D142:J142)"),"Kiracının arabulucusu hafta boyu sözleşme için çalıştılar.")</f>
        <v>Kiracının arabulucusu hafta boyu sözleşme için çalıştılar.</v>
      </c>
    </row>
    <row r="143">
      <c r="A143" s="3">
        <v>24.0</v>
      </c>
      <c r="B143" s="3" t="s">
        <v>30</v>
      </c>
      <c r="C143" s="3" t="s">
        <v>12</v>
      </c>
      <c r="D143" s="3" t="s">
        <v>326</v>
      </c>
      <c r="E143" s="3" t="s">
        <v>322</v>
      </c>
      <c r="F143" s="3" t="s">
        <v>16</v>
      </c>
      <c r="G143" s="3" t="s">
        <v>323</v>
      </c>
      <c r="H143" s="3" t="s">
        <v>324</v>
      </c>
      <c r="I143" s="3" t="s">
        <v>63</v>
      </c>
      <c r="J143" s="3" t="s">
        <v>129</v>
      </c>
      <c r="K143" s="5" t="str">
        <f>IFERROR(__xludf.DUMMYFUNCTION("JOIN("" "", D143:J143)"),"Kiracı arabulucuları hafta boyu sözleşme için çalıştılar.")</f>
        <v>Kiracı arabulucuları hafta boyu sözleşme için çalıştılar.</v>
      </c>
    </row>
    <row r="144">
      <c r="A144" s="3">
        <v>24.0</v>
      </c>
      <c r="B144" s="3" t="s">
        <v>30</v>
      </c>
      <c r="C144" s="3" t="s">
        <v>23</v>
      </c>
      <c r="D144" s="3" t="s">
        <v>327</v>
      </c>
      <c r="E144" s="3" t="s">
        <v>143</v>
      </c>
      <c r="F144" s="3" t="s">
        <v>16</v>
      </c>
      <c r="G144" s="3" t="s">
        <v>323</v>
      </c>
      <c r="H144" s="3" t="s">
        <v>324</v>
      </c>
      <c r="I144" s="3" t="s">
        <v>63</v>
      </c>
      <c r="J144" s="3" t="s">
        <v>129</v>
      </c>
      <c r="K144" s="5" t="str">
        <f>IFERROR(__xludf.DUMMYFUNCTION("JOIN("" "", D144:J144)"),"Kiracılar arabulucusu hafta boyu sözleşme için çalıştılar.")</f>
        <v>Kiracılar arabulucusu hafta boyu sözleşme için çalıştılar.</v>
      </c>
    </row>
    <row r="145">
      <c r="A145" s="3">
        <v>24.0</v>
      </c>
      <c r="B145" s="3" t="s">
        <v>30</v>
      </c>
      <c r="C145" s="3" t="s">
        <v>28</v>
      </c>
      <c r="D145" s="3" t="s">
        <v>326</v>
      </c>
      <c r="E145" s="3" t="s">
        <v>143</v>
      </c>
      <c r="F145" s="3" t="s">
        <v>16</v>
      </c>
      <c r="G145" s="3" t="s">
        <v>323</v>
      </c>
      <c r="H145" s="3" t="s">
        <v>324</v>
      </c>
      <c r="I145" s="3" t="s">
        <v>63</v>
      </c>
      <c r="J145" s="3" t="s">
        <v>129</v>
      </c>
      <c r="K145" s="5" t="str">
        <f>IFERROR(__xludf.DUMMYFUNCTION("JOIN("" "", D145:J145)"),"Kiracı arabulucusu hafta boyu sözleşme için çalıştılar.")</f>
        <v>Kiracı arabulucusu hafta boyu sözleşme için çalıştılar.</v>
      </c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329</v>
      </c>
      <c r="B1" s="10" t="s">
        <v>328</v>
      </c>
      <c r="C1" s="10" t="s">
        <v>330</v>
      </c>
      <c r="D1" s="10" t="s">
        <v>1</v>
      </c>
      <c r="E1" s="10" t="s">
        <v>2</v>
      </c>
      <c r="F1" s="10" t="s">
        <v>331</v>
      </c>
      <c r="G1" s="10" t="s">
        <v>332</v>
      </c>
      <c r="H1" s="10" t="s">
        <v>333</v>
      </c>
    </row>
    <row r="2">
      <c r="A2" s="11">
        <v>1.0</v>
      </c>
      <c r="B2" s="12" t="s">
        <v>334</v>
      </c>
      <c r="C2" s="13" t="s">
        <v>335</v>
      </c>
      <c r="D2" s="13" t="s">
        <v>11</v>
      </c>
      <c r="E2" s="13" t="s">
        <v>12</v>
      </c>
      <c r="F2" s="13" t="s">
        <v>20</v>
      </c>
      <c r="G2" s="13" t="s">
        <v>336</v>
      </c>
      <c r="H2" s="13" t="s">
        <v>337</v>
      </c>
    </row>
    <row r="3">
      <c r="A3" s="11">
        <v>1.0</v>
      </c>
      <c r="B3" s="12" t="s">
        <v>338</v>
      </c>
      <c r="C3" s="13" t="s">
        <v>335</v>
      </c>
      <c r="D3" s="13" t="s">
        <v>11</v>
      </c>
      <c r="E3" s="13" t="s">
        <v>23</v>
      </c>
      <c r="F3" s="13" t="s">
        <v>26</v>
      </c>
      <c r="G3" s="13" t="s">
        <v>339</v>
      </c>
      <c r="H3" s="13" t="s">
        <v>337</v>
      </c>
    </row>
    <row r="4">
      <c r="A4" s="11">
        <v>1.0</v>
      </c>
      <c r="B4" s="12" t="s">
        <v>340</v>
      </c>
      <c r="C4" s="13" t="s">
        <v>335</v>
      </c>
      <c r="D4" s="13" t="s">
        <v>11</v>
      </c>
      <c r="E4" s="13" t="s">
        <v>28</v>
      </c>
      <c r="F4" s="13" t="s">
        <v>26</v>
      </c>
      <c r="G4" s="13" t="s">
        <v>341</v>
      </c>
      <c r="H4" s="13" t="s">
        <v>337</v>
      </c>
    </row>
    <row r="5">
      <c r="A5" s="11">
        <v>1.0</v>
      </c>
      <c r="B5" s="12" t="s">
        <v>342</v>
      </c>
      <c r="C5" s="13" t="s">
        <v>335</v>
      </c>
      <c r="D5" s="13" t="s">
        <v>30</v>
      </c>
      <c r="E5" s="13" t="s">
        <v>12</v>
      </c>
      <c r="F5" s="13" t="s">
        <v>20</v>
      </c>
      <c r="G5" s="13" t="s">
        <v>343</v>
      </c>
      <c r="H5" s="13" t="s">
        <v>337</v>
      </c>
    </row>
    <row r="6">
      <c r="A6" s="11">
        <v>1.0</v>
      </c>
      <c r="B6" s="12" t="s">
        <v>344</v>
      </c>
      <c r="C6" s="13" t="s">
        <v>335</v>
      </c>
      <c r="D6" s="13" t="s">
        <v>30</v>
      </c>
      <c r="E6" s="13" t="s">
        <v>23</v>
      </c>
      <c r="F6" s="13" t="s">
        <v>26</v>
      </c>
      <c r="G6" s="13" t="s">
        <v>345</v>
      </c>
      <c r="H6" s="13" t="s">
        <v>337</v>
      </c>
    </row>
    <row r="7">
      <c r="A7" s="11">
        <v>1.0</v>
      </c>
      <c r="B7" s="12" t="s">
        <v>346</v>
      </c>
      <c r="C7" s="13" t="s">
        <v>335</v>
      </c>
      <c r="D7" s="13" t="s">
        <v>30</v>
      </c>
      <c r="E7" s="13" t="s">
        <v>28</v>
      </c>
      <c r="F7" s="13" t="s">
        <v>26</v>
      </c>
      <c r="G7" s="13" t="s">
        <v>347</v>
      </c>
      <c r="H7" s="13" t="s">
        <v>337</v>
      </c>
    </row>
    <row r="8">
      <c r="A8" s="11">
        <v>2.0</v>
      </c>
      <c r="B8" s="12" t="s">
        <v>348</v>
      </c>
      <c r="C8" s="13" t="s">
        <v>335</v>
      </c>
      <c r="D8" s="13" t="s">
        <v>11</v>
      </c>
      <c r="E8" s="13" t="s">
        <v>12</v>
      </c>
      <c r="F8" s="13" t="s">
        <v>20</v>
      </c>
      <c r="G8" s="13" t="s">
        <v>336</v>
      </c>
      <c r="H8" s="13" t="s">
        <v>337</v>
      </c>
    </row>
    <row r="9">
      <c r="A9" s="11">
        <v>2.0</v>
      </c>
      <c r="B9" s="12" t="s">
        <v>349</v>
      </c>
      <c r="C9" s="13" t="s">
        <v>335</v>
      </c>
      <c r="D9" s="13" t="s">
        <v>11</v>
      </c>
      <c r="E9" s="13" t="s">
        <v>23</v>
      </c>
      <c r="F9" s="13" t="s">
        <v>26</v>
      </c>
      <c r="G9" s="13" t="s">
        <v>339</v>
      </c>
      <c r="H9" s="13" t="s">
        <v>337</v>
      </c>
    </row>
    <row r="10">
      <c r="A10" s="11">
        <v>2.0</v>
      </c>
      <c r="B10" s="12" t="s">
        <v>350</v>
      </c>
      <c r="C10" s="13" t="s">
        <v>335</v>
      </c>
      <c r="D10" s="13" t="s">
        <v>11</v>
      </c>
      <c r="E10" s="13" t="s">
        <v>28</v>
      </c>
      <c r="F10" s="13" t="s">
        <v>26</v>
      </c>
      <c r="G10" s="13" t="s">
        <v>341</v>
      </c>
      <c r="H10" s="13" t="s">
        <v>337</v>
      </c>
    </row>
    <row r="11">
      <c r="A11" s="11">
        <v>2.0</v>
      </c>
      <c r="B11" s="12" t="s">
        <v>351</v>
      </c>
      <c r="C11" s="13" t="s">
        <v>335</v>
      </c>
      <c r="D11" s="13" t="s">
        <v>30</v>
      </c>
      <c r="E11" s="13" t="s">
        <v>12</v>
      </c>
      <c r="F11" s="13" t="s">
        <v>20</v>
      </c>
      <c r="G11" s="13" t="s">
        <v>343</v>
      </c>
      <c r="H11" s="13" t="s">
        <v>337</v>
      </c>
    </row>
    <row r="12">
      <c r="A12" s="11">
        <v>2.0</v>
      </c>
      <c r="B12" s="12" t="s">
        <v>352</v>
      </c>
      <c r="C12" s="13" t="s">
        <v>335</v>
      </c>
      <c r="D12" s="13" t="s">
        <v>30</v>
      </c>
      <c r="E12" s="13" t="s">
        <v>23</v>
      </c>
      <c r="F12" s="13" t="s">
        <v>26</v>
      </c>
      <c r="G12" s="13" t="s">
        <v>345</v>
      </c>
      <c r="H12" s="13" t="s">
        <v>337</v>
      </c>
    </row>
    <row r="13">
      <c r="A13" s="11">
        <v>2.0</v>
      </c>
      <c r="B13" s="12" t="s">
        <v>353</v>
      </c>
      <c r="C13" s="13" t="s">
        <v>335</v>
      </c>
      <c r="D13" s="13" t="s">
        <v>30</v>
      </c>
      <c r="E13" s="13" t="s">
        <v>28</v>
      </c>
      <c r="F13" s="13" t="s">
        <v>26</v>
      </c>
      <c r="G13" s="13" t="s">
        <v>347</v>
      </c>
      <c r="H13" s="13" t="s">
        <v>337</v>
      </c>
    </row>
    <row r="14">
      <c r="A14" s="11">
        <v>3.0</v>
      </c>
      <c r="B14" s="12" t="s">
        <v>354</v>
      </c>
      <c r="C14" s="13" t="s">
        <v>335</v>
      </c>
      <c r="D14" s="13" t="s">
        <v>11</v>
      </c>
      <c r="E14" s="13" t="s">
        <v>12</v>
      </c>
      <c r="F14" s="13" t="s">
        <v>20</v>
      </c>
      <c r="G14" s="13" t="s">
        <v>336</v>
      </c>
      <c r="H14" s="13" t="s">
        <v>337</v>
      </c>
    </row>
    <row r="15">
      <c r="A15" s="11">
        <v>3.0</v>
      </c>
      <c r="B15" s="12" t="s">
        <v>355</v>
      </c>
      <c r="C15" s="13" t="s">
        <v>335</v>
      </c>
      <c r="D15" s="13" t="s">
        <v>11</v>
      </c>
      <c r="E15" s="13" t="s">
        <v>23</v>
      </c>
      <c r="F15" s="13" t="s">
        <v>26</v>
      </c>
      <c r="G15" s="13" t="s">
        <v>339</v>
      </c>
      <c r="H15" s="13" t="s">
        <v>337</v>
      </c>
    </row>
    <row r="16">
      <c r="A16" s="11">
        <v>3.0</v>
      </c>
      <c r="B16" s="12" t="s">
        <v>356</v>
      </c>
      <c r="C16" s="13" t="s">
        <v>335</v>
      </c>
      <c r="D16" s="13" t="s">
        <v>11</v>
      </c>
      <c r="E16" s="13" t="s">
        <v>28</v>
      </c>
      <c r="F16" s="13" t="s">
        <v>26</v>
      </c>
      <c r="G16" s="13" t="s">
        <v>341</v>
      </c>
      <c r="H16" s="13" t="s">
        <v>337</v>
      </c>
    </row>
    <row r="17">
      <c r="A17" s="11">
        <v>3.0</v>
      </c>
      <c r="B17" s="12" t="s">
        <v>357</v>
      </c>
      <c r="C17" s="13" t="s">
        <v>335</v>
      </c>
      <c r="D17" s="13" t="s">
        <v>30</v>
      </c>
      <c r="E17" s="13" t="s">
        <v>12</v>
      </c>
      <c r="F17" s="13" t="s">
        <v>20</v>
      </c>
      <c r="G17" s="13" t="s">
        <v>343</v>
      </c>
      <c r="H17" s="13" t="s">
        <v>337</v>
      </c>
    </row>
    <row r="18">
      <c r="A18" s="11">
        <v>3.0</v>
      </c>
      <c r="B18" s="12" t="s">
        <v>358</v>
      </c>
      <c r="C18" s="13" t="s">
        <v>335</v>
      </c>
      <c r="D18" s="13" t="s">
        <v>30</v>
      </c>
      <c r="E18" s="13" t="s">
        <v>23</v>
      </c>
      <c r="F18" s="13" t="s">
        <v>26</v>
      </c>
      <c r="G18" s="13" t="s">
        <v>345</v>
      </c>
      <c r="H18" s="13" t="s">
        <v>337</v>
      </c>
    </row>
    <row r="19">
      <c r="A19" s="11">
        <v>3.0</v>
      </c>
      <c r="B19" s="12" t="s">
        <v>359</v>
      </c>
      <c r="C19" s="13" t="s">
        <v>335</v>
      </c>
      <c r="D19" s="13" t="s">
        <v>30</v>
      </c>
      <c r="E19" s="13" t="s">
        <v>28</v>
      </c>
      <c r="F19" s="13" t="s">
        <v>26</v>
      </c>
      <c r="G19" s="13" t="s">
        <v>347</v>
      </c>
      <c r="H19" s="13" t="s">
        <v>337</v>
      </c>
    </row>
    <row r="20">
      <c r="A20" s="11">
        <v>4.0</v>
      </c>
      <c r="B20" s="12" t="s">
        <v>360</v>
      </c>
      <c r="C20" s="13" t="s">
        <v>335</v>
      </c>
      <c r="D20" s="13" t="s">
        <v>11</v>
      </c>
      <c r="E20" s="13" t="s">
        <v>12</v>
      </c>
      <c r="F20" s="13" t="s">
        <v>20</v>
      </c>
      <c r="G20" s="13" t="s">
        <v>336</v>
      </c>
      <c r="H20" s="13" t="s">
        <v>337</v>
      </c>
    </row>
    <row r="21">
      <c r="A21" s="11">
        <v>4.0</v>
      </c>
      <c r="B21" s="12" t="s">
        <v>361</v>
      </c>
      <c r="C21" s="13" t="s">
        <v>335</v>
      </c>
      <c r="D21" s="13" t="s">
        <v>11</v>
      </c>
      <c r="E21" s="13" t="s">
        <v>23</v>
      </c>
      <c r="F21" s="13" t="s">
        <v>26</v>
      </c>
      <c r="G21" s="13" t="s">
        <v>339</v>
      </c>
      <c r="H21" s="13" t="s">
        <v>337</v>
      </c>
    </row>
    <row r="22">
      <c r="A22" s="11">
        <v>4.0</v>
      </c>
      <c r="B22" s="12" t="s">
        <v>362</v>
      </c>
      <c r="C22" s="13" t="s">
        <v>335</v>
      </c>
      <c r="D22" s="13" t="s">
        <v>11</v>
      </c>
      <c r="E22" s="13" t="s">
        <v>28</v>
      </c>
      <c r="F22" s="13" t="s">
        <v>26</v>
      </c>
      <c r="G22" s="13" t="s">
        <v>341</v>
      </c>
      <c r="H22" s="13" t="s">
        <v>337</v>
      </c>
    </row>
    <row r="23">
      <c r="A23" s="11">
        <v>4.0</v>
      </c>
      <c r="B23" s="12" t="s">
        <v>363</v>
      </c>
      <c r="C23" s="13" t="s">
        <v>335</v>
      </c>
      <c r="D23" s="13" t="s">
        <v>30</v>
      </c>
      <c r="E23" s="13" t="s">
        <v>12</v>
      </c>
      <c r="F23" s="13" t="s">
        <v>20</v>
      </c>
      <c r="G23" s="13" t="s">
        <v>343</v>
      </c>
      <c r="H23" s="13" t="s">
        <v>337</v>
      </c>
    </row>
    <row r="24">
      <c r="A24" s="11">
        <v>4.0</v>
      </c>
      <c r="B24" s="12" t="s">
        <v>364</v>
      </c>
      <c r="C24" s="13" t="s">
        <v>335</v>
      </c>
      <c r="D24" s="13" t="s">
        <v>30</v>
      </c>
      <c r="E24" s="13" t="s">
        <v>23</v>
      </c>
      <c r="F24" s="13" t="s">
        <v>26</v>
      </c>
      <c r="G24" s="13" t="s">
        <v>345</v>
      </c>
      <c r="H24" s="13" t="s">
        <v>337</v>
      </c>
    </row>
    <row r="25">
      <c r="A25" s="11">
        <v>4.0</v>
      </c>
      <c r="B25" s="12" t="s">
        <v>365</v>
      </c>
      <c r="C25" s="13" t="s">
        <v>335</v>
      </c>
      <c r="D25" s="13" t="s">
        <v>30</v>
      </c>
      <c r="E25" s="13" t="s">
        <v>28</v>
      </c>
      <c r="F25" s="13" t="s">
        <v>26</v>
      </c>
      <c r="G25" s="13" t="s">
        <v>347</v>
      </c>
      <c r="H25" s="13" t="s">
        <v>337</v>
      </c>
    </row>
    <row r="26">
      <c r="A26" s="11">
        <v>5.0</v>
      </c>
      <c r="B26" s="12" t="s">
        <v>366</v>
      </c>
      <c r="C26" s="13" t="s">
        <v>335</v>
      </c>
      <c r="D26" s="13" t="s">
        <v>11</v>
      </c>
      <c r="E26" s="13" t="s">
        <v>12</v>
      </c>
      <c r="F26" s="13" t="s">
        <v>20</v>
      </c>
      <c r="G26" s="13" t="s">
        <v>339</v>
      </c>
      <c r="H26" s="13" t="s">
        <v>337</v>
      </c>
    </row>
    <row r="27">
      <c r="A27" s="11">
        <v>5.0</v>
      </c>
      <c r="B27" s="12" t="s">
        <v>367</v>
      </c>
      <c r="C27" s="13" t="s">
        <v>335</v>
      </c>
      <c r="D27" s="13" t="s">
        <v>11</v>
      </c>
      <c r="E27" s="13" t="s">
        <v>23</v>
      </c>
      <c r="F27" s="13" t="s">
        <v>26</v>
      </c>
      <c r="G27" s="13" t="s">
        <v>341</v>
      </c>
      <c r="H27" s="13" t="s">
        <v>337</v>
      </c>
    </row>
    <row r="28">
      <c r="A28" s="11">
        <v>5.0</v>
      </c>
      <c r="B28" s="12" t="s">
        <v>368</v>
      </c>
      <c r="C28" s="13" t="s">
        <v>335</v>
      </c>
      <c r="D28" s="13" t="s">
        <v>11</v>
      </c>
      <c r="E28" s="13" t="s">
        <v>28</v>
      </c>
      <c r="F28" s="13" t="s">
        <v>26</v>
      </c>
      <c r="G28" s="13" t="s">
        <v>343</v>
      </c>
      <c r="H28" s="13" t="s">
        <v>337</v>
      </c>
    </row>
    <row r="29">
      <c r="A29" s="11">
        <v>5.0</v>
      </c>
      <c r="B29" s="12" t="s">
        <v>369</v>
      </c>
      <c r="C29" s="13" t="s">
        <v>335</v>
      </c>
      <c r="D29" s="13" t="s">
        <v>30</v>
      </c>
      <c r="E29" s="13" t="s">
        <v>12</v>
      </c>
      <c r="F29" s="13" t="s">
        <v>20</v>
      </c>
      <c r="G29" s="13" t="s">
        <v>345</v>
      </c>
      <c r="H29" s="13" t="s">
        <v>337</v>
      </c>
    </row>
    <row r="30">
      <c r="A30" s="11">
        <v>5.0</v>
      </c>
      <c r="B30" s="12" t="s">
        <v>370</v>
      </c>
      <c r="C30" s="13" t="s">
        <v>335</v>
      </c>
      <c r="D30" s="13" t="s">
        <v>30</v>
      </c>
      <c r="E30" s="13" t="s">
        <v>23</v>
      </c>
      <c r="F30" s="13" t="s">
        <v>26</v>
      </c>
      <c r="G30" s="13" t="s">
        <v>347</v>
      </c>
      <c r="H30" s="13" t="s">
        <v>337</v>
      </c>
    </row>
    <row r="31">
      <c r="A31" s="11">
        <v>5.0</v>
      </c>
      <c r="B31" s="12" t="s">
        <v>371</v>
      </c>
      <c r="C31" s="13" t="s">
        <v>335</v>
      </c>
      <c r="D31" s="13" t="s">
        <v>30</v>
      </c>
      <c r="E31" s="13" t="s">
        <v>28</v>
      </c>
      <c r="F31" s="13" t="s">
        <v>26</v>
      </c>
      <c r="G31" s="13" t="s">
        <v>336</v>
      </c>
      <c r="H31" s="13" t="s">
        <v>337</v>
      </c>
    </row>
    <row r="32">
      <c r="A32" s="11">
        <v>6.0</v>
      </c>
      <c r="B32" s="12" t="s">
        <v>372</v>
      </c>
      <c r="C32" s="13" t="s">
        <v>335</v>
      </c>
      <c r="D32" s="13" t="s">
        <v>11</v>
      </c>
      <c r="E32" s="13" t="s">
        <v>12</v>
      </c>
      <c r="F32" s="13" t="s">
        <v>20</v>
      </c>
      <c r="G32" s="13" t="s">
        <v>339</v>
      </c>
      <c r="H32" s="13" t="s">
        <v>337</v>
      </c>
    </row>
    <row r="33">
      <c r="A33" s="11">
        <v>6.0</v>
      </c>
      <c r="B33" s="12" t="s">
        <v>373</v>
      </c>
      <c r="C33" s="13" t="s">
        <v>335</v>
      </c>
      <c r="D33" s="13" t="s">
        <v>11</v>
      </c>
      <c r="E33" s="13" t="s">
        <v>23</v>
      </c>
      <c r="F33" s="13" t="s">
        <v>26</v>
      </c>
      <c r="G33" s="13" t="s">
        <v>341</v>
      </c>
      <c r="H33" s="13" t="s">
        <v>337</v>
      </c>
    </row>
    <row r="34">
      <c r="A34" s="11">
        <v>6.0</v>
      </c>
      <c r="B34" s="12" t="s">
        <v>374</v>
      </c>
      <c r="C34" s="13" t="s">
        <v>335</v>
      </c>
      <c r="D34" s="13" t="s">
        <v>11</v>
      </c>
      <c r="E34" s="13" t="s">
        <v>28</v>
      </c>
      <c r="F34" s="13" t="s">
        <v>26</v>
      </c>
      <c r="G34" s="13" t="s">
        <v>343</v>
      </c>
      <c r="H34" s="13" t="s">
        <v>337</v>
      </c>
    </row>
    <row r="35">
      <c r="A35" s="11">
        <v>6.0</v>
      </c>
      <c r="B35" s="12" t="s">
        <v>375</v>
      </c>
      <c r="C35" s="13" t="s">
        <v>335</v>
      </c>
      <c r="D35" s="13" t="s">
        <v>30</v>
      </c>
      <c r="E35" s="13" t="s">
        <v>12</v>
      </c>
      <c r="F35" s="13" t="s">
        <v>20</v>
      </c>
      <c r="G35" s="13" t="s">
        <v>345</v>
      </c>
      <c r="H35" s="13" t="s">
        <v>337</v>
      </c>
    </row>
    <row r="36">
      <c r="A36" s="11">
        <v>6.0</v>
      </c>
      <c r="B36" s="12" t="s">
        <v>376</v>
      </c>
      <c r="C36" s="13" t="s">
        <v>335</v>
      </c>
      <c r="D36" s="13" t="s">
        <v>30</v>
      </c>
      <c r="E36" s="13" t="s">
        <v>23</v>
      </c>
      <c r="F36" s="13" t="s">
        <v>26</v>
      </c>
      <c r="G36" s="13" t="s">
        <v>347</v>
      </c>
      <c r="H36" s="13" t="s">
        <v>337</v>
      </c>
    </row>
    <row r="37">
      <c r="A37" s="11">
        <v>6.0</v>
      </c>
      <c r="B37" s="12" t="s">
        <v>377</v>
      </c>
      <c r="C37" s="13" t="s">
        <v>335</v>
      </c>
      <c r="D37" s="13" t="s">
        <v>30</v>
      </c>
      <c r="E37" s="13" t="s">
        <v>28</v>
      </c>
      <c r="F37" s="13" t="s">
        <v>26</v>
      </c>
      <c r="G37" s="13" t="s">
        <v>336</v>
      </c>
      <c r="H37" s="13" t="s">
        <v>337</v>
      </c>
    </row>
    <row r="38">
      <c r="A38" s="11">
        <v>7.0</v>
      </c>
      <c r="B38" s="12" t="s">
        <v>378</v>
      </c>
      <c r="C38" s="13" t="s">
        <v>335</v>
      </c>
      <c r="D38" s="13" t="s">
        <v>11</v>
      </c>
      <c r="E38" s="13" t="s">
        <v>12</v>
      </c>
      <c r="F38" s="13" t="s">
        <v>20</v>
      </c>
      <c r="G38" s="13" t="s">
        <v>339</v>
      </c>
      <c r="H38" s="13" t="s">
        <v>337</v>
      </c>
    </row>
    <row r="39">
      <c r="A39" s="11">
        <v>7.0</v>
      </c>
      <c r="B39" s="12" t="s">
        <v>379</v>
      </c>
      <c r="C39" s="13" t="s">
        <v>335</v>
      </c>
      <c r="D39" s="13" t="s">
        <v>11</v>
      </c>
      <c r="E39" s="13" t="s">
        <v>23</v>
      </c>
      <c r="F39" s="13" t="s">
        <v>26</v>
      </c>
      <c r="G39" s="13" t="s">
        <v>341</v>
      </c>
      <c r="H39" s="13" t="s">
        <v>337</v>
      </c>
    </row>
    <row r="40">
      <c r="A40" s="11">
        <v>7.0</v>
      </c>
      <c r="B40" s="12" t="s">
        <v>380</v>
      </c>
      <c r="C40" s="13" t="s">
        <v>335</v>
      </c>
      <c r="D40" s="13" t="s">
        <v>11</v>
      </c>
      <c r="E40" s="13" t="s">
        <v>28</v>
      </c>
      <c r="F40" s="13" t="s">
        <v>26</v>
      </c>
      <c r="G40" s="13" t="s">
        <v>343</v>
      </c>
      <c r="H40" s="13" t="s">
        <v>337</v>
      </c>
    </row>
    <row r="41">
      <c r="A41" s="11">
        <v>7.0</v>
      </c>
      <c r="B41" s="12" t="s">
        <v>381</v>
      </c>
      <c r="C41" s="13" t="s">
        <v>335</v>
      </c>
      <c r="D41" s="13" t="s">
        <v>30</v>
      </c>
      <c r="E41" s="13" t="s">
        <v>12</v>
      </c>
      <c r="F41" s="13" t="s">
        <v>20</v>
      </c>
      <c r="G41" s="13" t="s">
        <v>345</v>
      </c>
      <c r="H41" s="13" t="s">
        <v>337</v>
      </c>
    </row>
    <row r="42">
      <c r="A42" s="11">
        <v>7.0</v>
      </c>
      <c r="B42" s="12" t="s">
        <v>382</v>
      </c>
      <c r="C42" s="13" t="s">
        <v>335</v>
      </c>
      <c r="D42" s="13" t="s">
        <v>30</v>
      </c>
      <c r="E42" s="13" t="s">
        <v>23</v>
      </c>
      <c r="F42" s="13" t="s">
        <v>26</v>
      </c>
      <c r="G42" s="13" t="s">
        <v>347</v>
      </c>
      <c r="H42" s="13" t="s">
        <v>337</v>
      </c>
    </row>
    <row r="43">
      <c r="A43" s="11">
        <v>7.0</v>
      </c>
      <c r="B43" s="12" t="s">
        <v>383</v>
      </c>
      <c r="C43" s="13" t="s">
        <v>335</v>
      </c>
      <c r="D43" s="13" t="s">
        <v>30</v>
      </c>
      <c r="E43" s="13" t="s">
        <v>28</v>
      </c>
      <c r="F43" s="13" t="s">
        <v>26</v>
      </c>
      <c r="G43" s="13" t="s">
        <v>336</v>
      </c>
      <c r="H43" s="13" t="s">
        <v>337</v>
      </c>
    </row>
    <row r="44">
      <c r="A44" s="11">
        <v>8.0</v>
      </c>
      <c r="B44" s="12" t="s">
        <v>384</v>
      </c>
      <c r="C44" s="13" t="s">
        <v>335</v>
      </c>
      <c r="D44" s="13" t="s">
        <v>11</v>
      </c>
      <c r="E44" s="13" t="s">
        <v>12</v>
      </c>
      <c r="F44" s="13" t="s">
        <v>20</v>
      </c>
      <c r="G44" s="13" t="s">
        <v>339</v>
      </c>
      <c r="H44" s="13" t="s">
        <v>337</v>
      </c>
    </row>
    <row r="45">
      <c r="A45" s="11">
        <v>8.0</v>
      </c>
      <c r="B45" s="12" t="s">
        <v>385</v>
      </c>
      <c r="C45" s="13" t="s">
        <v>335</v>
      </c>
      <c r="D45" s="13" t="s">
        <v>11</v>
      </c>
      <c r="E45" s="13" t="s">
        <v>23</v>
      </c>
      <c r="F45" s="13" t="s">
        <v>26</v>
      </c>
      <c r="G45" s="13" t="s">
        <v>341</v>
      </c>
      <c r="H45" s="13" t="s">
        <v>337</v>
      </c>
    </row>
    <row r="46">
      <c r="A46" s="11">
        <v>8.0</v>
      </c>
      <c r="B46" s="12" t="s">
        <v>386</v>
      </c>
      <c r="C46" s="13" t="s">
        <v>335</v>
      </c>
      <c r="D46" s="13" t="s">
        <v>11</v>
      </c>
      <c r="E46" s="13" t="s">
        <v>28</v>
      </c>
      <c r="F46" s="13" t="s">
        <v>26</v>
      </c>
      <c r="G46" s="13" t="s">
        <v>343</v>
      </c>
      <c r="H46" s="13" t="s">
        <v>337</v>
      </c>
    </row>
    <row r="47">
      <c r="A47" s="11">
        <v>8.0</v>
      </c>
      <c r="B47" s="12" t="s">
        <v>387</v>
      </c>
      <c r="C47" s="13" t="s">
        <v>335</v>
      </c>
      <c r="D47" s="13" t="s">
        <v>30</v>
      </c>
      <c r="E47" s="13" t="s">
        <v>12</v>
      </c>
      <c r="F47" s="13" t="s">
        <v>20</v>
      </c>
      <c r="G47" s="13" t="s">
        <v>345</v>
      </c>
      <c r="H47" s="13" t="s">
        <v>337</v>
      </c>
    </row>
    <row r="48">
      <c r="A48" s="11">
        <v>8.0</v>
      </c>
      <c r="B48" s="12" t="s">
        <v>388</v>
      </c>
      <c r="C48" s="13" t="s">
        <v>335</v>
      </c>
      <c r="D48" s="13" t="s">
        <v>30</v>
      </c>
      <c r="E48" s="13" t="s">
        <v>23</v>
      </c>
      <c r="F48" s="13" t="s">
        <v>26</v>
      </c>
      <c r="G48" s="13" t="s">
        <v>347</v>
      </c>
      <c r="H48" s="13" t="s">
        <v>337</v>
      </c>
    </row>
    <row r="49">
      <c r="A49" s="11">
        <v>8.0</v>
      </c>
      <c r="B49" s="12" t="s">
        <v>389</v>
      </c>
      <c r="C49" s="13" t="s">
        <v>335</v>
      </c>
      <c r="D49" s="13" t="s">
        <v>30</v>
      </c>
      <c r="E49" s="13" t="s">
        <v>28</v>
      </c>
      <c r="F49" s="13" t="s">
        <v>26</v>
      </c>
      <c r="G49" s="13" t="s">
        <v>336</v>
      </c>
      <c r="H49" s="13" t="s">
        <v>337</v>
      </c>
    </row>
    <row r="50">
      <c r="A50" s="11">
        <v>9.0</v>
      </c>
      <c r="B50" s="12" t="s">
        <v>390</v>
      </c>
      <c r="C50" s="13" t="s">
        <v>335</v>
      </c>
      <c r="D50" s="13" t="s">
        <v>11</v>
      </c>
      <c r="E50" s="13" t="s">
        <v>12</v>
      </c>
      <c r="F50" s="13" t="s">
        <v>20</v>
      </c>
      <c r="G50" s="13" t="s">
        <v>341</v>
      </c>
      <c r="H50" s="13" t="s">
        <v>337</v>
      </c>
    </row>
    <row r="51">
      <c r="A51" s="11">
        <v>9.0</v>
      </c>
      <c r="B51" s="12" t="s">
        <v>391</v>
      </c>
      <c r="C51" s="13" t="s">
        <v>335</v>
      </c>
      <c r="D51" s="13" t="s">
        <v>11</v>
      </c>
      <c r="E51" s="13" t="s">
        <v>23</v>
      </c>
      <c r="F51" s="13" t="s">
        <v>26</v>
      </c>
      <c r="G51" s="13" t="s">
        <v>343</v>
      </c>
      <c r="H51" s="13" t="s">
        <v>337</v>
      </c>
    </row>
    <row r="52">
      <c r="A52" s="11">
        <v>9.0</v>
      </c>
      <c r="B52" s="12" t="s">
        <v>392</v>
      </c>
      <c r="C52" s="13" t="s">
        <v>335</v>
      </c>
      <c r="D52" s="13" t="s">
        <v>11</v>
      </c>
      <c r="E52" s="13" t="s">
        <v>28</v>
      </c>
      <c r="F52" s="13" t="s">
        <v>26</v>
      </c>
      <c r="G52" s="13" t="s">
        <v>345</v>
      </c>
      <c r="H52" s="13" t="s">
        <v>337</v>
      </c>
    </row>
    <row r="53">
      <c r="A53" s="11">
        <v>9.0</v>
      </c>
      <c r="B53" s="12" t="s">
        <v>393</v>
      </c>
      <c r="C53" s="13" t="s">
        <v>335</v>
      </c>
      <c r="D53" s="13" t="s">
        <v>30</v>
      </c>
      <c r="E53" s="13" t="s">
        <v>12</v>
      </c>
      <c r="F53" s="13" t="s">
        <v>20</v>
      </c>
      <c r="G53" s="13" t="s">
        <v>347</v>
      </c>
      <c r="H53" s="13" t="s">
        <v>337</v>
      </c>
    </row>
    <row r="54">
      <c r="A54" s="11">
        <v>9.0</v>
      </c>
      <c r="B54" s="12" t="s">
        <v>394</v>
      </c>
      <c r="C54" s="13" t="s">
        <v>335</v>
      </c>
      <c r="D54" s="13" t="s">
        <v>30</v>
      </c>
      <c r="E54" s="13" t="s">
        <v>23</v>
      </c>
      <c r="F54" s="13" t="s">
        <v>26</v>
      </c>
      <c r="G54" s="13" t="s">
        <v>336</v>
      </c>
      <c r="H54" s="13" t="s">
        <v>337</v>
      </c>
    </row>
    <row r="55">
      <c r="A55" s="11">
        <v>9.0</v>
      </c>
      <c r="B55" s="12" t="s">
        <v>395</v>
      </c>
      <c r="C55" s="13" t="s">
        <v>335</v>
      </c>
      <c r="D55" s="13" t="s">
        <v>30</v>
      </c>
      <c r="E55" s="13" t="s">
        <v>28</v>
      </c>
      <c r="F55" s="13" t="s">
        <v>26</v>
      </c>
      <c r="G55" s="13" t="s">
        <v>339</v>
      </c>
      <c r="H55" s="13" t="s">
        <v>337</v>
      </c>
    </row>
    <row r="56">
      <c r="A56" s="11">
        <v>10.0</v>
      </c>
      <c r="B56" s="12" t="s">
        <v>396</v>
      </c>
      <c r="C56" s="13" t="s">
        <v>335</v>
      </c>
      <c r="D56" s="13" t="s">
        <v>11</v>
      </c>
      <c r="E56" s="13" t="s">
        <v>12</v>
      </c>
      <c r="F56" s="13" t="s">
        <v>20</v>
      </c>
      <c r="G56" s="13" t="s">
        <v>341</v>
      </c>
      <c r="H56" s="13" t="s">
        <v>337</v>
      </c>
    </row>
    <row r="57">
      <c r="A57" s="11">
        <v>10.0</v>
      </c>
      <c r="B57" s="12" t="s">
        <v>397</v>
      </c>
      <c r="C57" s="13" t="s">
        <v>335</v>
      </c>
      <c r="D57" s="13" t="s">
        <v>11</v>
      </c>
      <c r="E57" s="13" t="s">
        <v>23</v>
      </c>
      <c r="F57" s="13" t="s">
        <v>26</v>
      </c>
      <c r="G57" s="13" t="s">
        <v>343</v>
      </c>
      <c r="H57" s="13" t="s">
        <v>337</v>
      </c>
    </row>
    <row r="58">
      <c r="A58" s="11">
        <v>10.0</v>
      </c>
      <c r="B58" s="12" t="s">
        <v>398</v>
      </c>
      <c r="C58" s="13" t="s">
        <v>335</v>
      </c>
      <c r="D58" s="13" t="s">
        <v>11</v>
      </c>
      <c r="E58" s="13" t="s">
        <v>28</v>
      </c>
      <c r="F58" s="13" t="s">
        <v>26</v>
      </c>
      <c r="G58" s="13" t="s">
        <v>345</v>
      </c>
      <c r="H58" s="13" t="s">
        <v>337</v>
      </c>
    </row>
    <row r="59">
      <c r="A59" s="11">
        <v>10.0</v>
      </c>
      <c r="B59" s="12" t="s">
        <v>399</v>
      </c>
      <c r="C59" s="13" t="s">
        <v>335</v>
      </c>
      <c r="D59" s="13" t="s">
        <v>30</v>
      </c>
      <c r="E59" s="13" t="s">
        <v>12</v>
      </c>
      <c r="F59" s="13" t="s">
        <v>20</v>
      </c>
      <c r="G59" s="13" t="s">
        <v>347</v>
      </c>
      <c r="H59" s="13" t="s">
        <v>337</v>
      </c>
    </row>
    <row r="60">
      <c r="A60" s="11">
        <v>10.0</v>
      </c>
      <c r="B60" s="12" t="s">
        <v>400</v>
      </c>
      <c r="C60" s="13" t="s">
        <v>335</v>
      </c>
      <c r="D60" s="13" t="s">
        <v>30</v>
      </c>
      <c r="E60" s="13" t="s">
        <v>23</v>
      </c>
      <c r="F60" s="13" t="s">
        <v>26</v>
      </c>
      <c r="G60" s="13" t="s">
        <v>336</v>
      </c>
      <c r="H60" s="13" t="s">
        <v>337</v>
      </c>
    </row>
    <row r="61">
      <c r="A61" s="11">
        <v>10.0</v>
      </c>
      <c r="B61" s="12" t="s">
        <v>401</v>
      </c>
      <c r="C61" s="13" t="s">
        <v>335</v>
      </c>
      <c r="D61" s="13" t="s">
        <v>30</v>
      </c>
      <c r="E61" s="13" t="s">
        <v>28</v>
      </c>
      <c r="F61" s="13" t="s">
        <v>26</v>
      </c>
      <c r="G61" s="13" t="s">
        <v>339</v>
      </c>
      <c r="H61" s="13" t="s">
        <v>337</v>
      </c>
    </row>
    <row r="62">
      <c r="A62" s="11">
        <v>11.0</v>
      </c>
      <c r="B62" s="12" t="s">
        <v>402</v>
      </c>
      <c r="C62" s="13" t="s">
        <v>335</v>
      </c>
      <c r="D62" s="13" t="s">
        <v>11</v>
      </c>
      <c r="E62" s="13" t="s">
        <v>12</v>
      </c>
      <c r="F62" s="13" t="s">
        <v>20</v>
      </c>
      <c r="G62" s="13" t="s">
        <v>341</v>
      </c>
      <c r="H62" s="13" t="s">
        <v>337</v>
      </c>
    </row>
    <row r="63">
      <c r="A63" s="11">
        <v>11.0</v>
      </c>
      <c r="B63" s="12" t="s">
        <v>403</v>
      </c>
      <c r="C63" s="13" t="s">
        <v>335</v>
      </c>
      <c r="D63" s="13" t="s">
        <v>11</v>
      </c>
      <c r="E63" s="13" t="s">
        <v>23</v>
      </c>
      <c r="F63" s="13" t="s">
        <v>26</v>
      </c>
      <c r="G63" s="13" t="s">
        <v>343</v>
      </c>
      <c r="H63" s="13" t="s">
        <v>337</v>
      </c>
    </row>
    <row r="64">
      <c r="A64" s="11">
        <v>11.0</v>
      </c>
      <c r="B64" s="12" t="s">
        <v>404</v>
      </c>
      <c r="C64" s="13" t="s">
        <v>335</v>
      </c>
      <c r="D64" s="13" t="s">
        <v>11</v>
      </c>
      <c r="E64" s="13" t="s">
        <v>28</v>
      </c>
      <c r="F64" s="13" t="s">
        <v>26</v>
      </c>
      <c r="G64" s="13" t="s">
        <v>345</v>
      </c>
      <c r="H64" s="13" t="s">
        <v>337</v>
      </c>
    </row>
    <row r="65">
      <c r="A65" s="11">
        <v>11.0</v>
      </c>
      <c r="B65" s="12" t="s">
        <v>405</v>
      </c>
      <c r="C65" s="13" t="s">
        <v>335</v>
      </c>
      <c r="D65" s="13" t="s">
        <v>30</v>
      </c>
      <c r="E65" s="13" t="s">
        <v>12</v>
      </c>
      <c r="F65" s="13" t="s">
        <v>20</v>
      </c>
      <c r="G65" s="13" t="s">
        <v>347</v>
      </c>
      <c r="H65" s="13" t="s">
        <v>337</v>
      </c>
    </row>
    <row r="66">
      <c r="A66" s="11">
        <v>11.0</v>
      </c>
      <c r="B66" s="12" t="s">
        <v>406</v>
      </c>
      <c r="C66" s="13" t="s">
        <v>335</v>
      </c>
      <c r="D66" s="13" t="s">
        <v>30</v>
      </c>
      <c r="E66" s="13" t="s">
        <v>23</v>
      </c>
      <c r="F66" s="13" t="s">
        <v>26</v>
      </c>
      <c r="G66" s="13" t="s">
        <v>336</v>
      </c>
      <c r="H66" s="13" t="s">
        <v>337</v>
      </c>
    </row>
    <row r="67">
      <c r="A67" s="11">
        <v>11.0</v>
      </c>
      <c r="B67" s="12" t="s">
        <v>407</v>
      </c>
      <c r="C67" s="13" t="s">
        <v>335</v>
      </c>
      <c r="D67" s="13" t="s">
        <v>30</v>
      </c>
      <c r="E67" s="13" t="s">
        <v>28</v>
      </c>
      <c r="F67" s="13" t="s">
        <v>26</v>
      </c>
      <c r="G67" s="13" t="s">
        <v>339</v>
      </c>
      <c r="H67" s="13" t="s">
        <v>337</v>
      </c>
    </row>
    <row r="68">
      <c r="A68" s="11">
        <v>12.0</v>
      </c>
      <c r="B68" s="12" t="s">
        <v>408</v>
      </c>
      <c r="C68" s="13" t="s">
        <v>335</v>
      </c>
      <c r="D68" s="13" t="s">
        <v>11</v>
      </c>
      <c r="E68" s="13" t="s">
        <v>12</v>
      </c>
      <c r="F68" s="13" t="s">
        <v>20</v>
      </c>
      <c r="G68" s="13" t="s">
        <v>341</v>
      </c>
      <c r="H68" s="13" t="s">
        <v>337</v>
      </c>
    </row>
    <row r="69">
      <c r="A69" s="11">
        <v>12.0</v>
      </c>
      <c r="B69" s="12" t="s">
        <v>409</v>
      </c>
      <c r="C69" s="13" t="s">
        <v>335</v>
      </c>
      <c r="D69" s="13" t="s">
        <v>11</v>
      </c>
      <c r="E69" s="13" t="s">
        <v>23</v>
      </c>
      <c r="F69" s="13" t="s">
        <v>26</v>
      </c>
      <c r="G69" s="13" t="s">
        <v>343</v>
      </c>
      <c r="H69" s="13" t="s">
        <v>337</v>
      </c>
    </row>
    <row r="70">
      <c r="A70" s="11">
        <v>12.0</v>
      </c>
      <c r="B70" s="12" t="s">
        <v>410</v>
      </c>
      <c r="C70" s="13" t="s">
        <v>335</v>
      </c>
      <c r="D70" s="13" t="s">
        <v>11</v>
      </c>
      <c r="E70" s="13" t="s">
        <v>28</v>
      </c>
      <c r="F70" s="13" t="s">
        <v>26</v>
      </c>
      <c r="G70" s="13" t="s">
        <v>345</v>
      </c>
      <c r="H70" s="13" t="s">
        <v>337</v>
      </c>
    </row>
    <row r="71">
      <c r="A71" s="11">
        <v>12.0</v>
      </c>
      <c r="B71" s="12" t="s">
        <v>411</v>
      </c>
      <c r="C71" s="13" t="s">
        <v>335</v>
      </c>
      <c r="D71" s="13" t="s">
        <v>30</v>
      </c>
      <c r="E71" s="13" t="s">
        <v>12</v>
      </c>
      <c r="F71" s="13" t="s">
        <v>20</v>
      </c>
      <c r="G71" s="13" t="s">
        <v>347</v>
      </c>
      <c r="H71" s="13" t="s">
        <v>337</v>
      </c>
    </row>
    <row r="72">
      <c r="A72" s="11">
        <v>12.0</v>
      </c>
      <c r="B72" s="12" t="s">
        <v>412</v>
      </c>
      <c r="C72" s="13" t="s">
        <v>335</v>
      </c>
      <c r="D72" s="13" t="s">
        <v>30</v>
      </c>
      <c r="E72" s="13" t="s">
        <v>23</v>
      </c>
      <c r="F72" s="13" t="s">
        <v>26</v>
      </c>
      <c r="G72" s="13" t="s">
        <v>336</v>
      </c>
      <c r="H72" s="13" t="s">
        <v>337</v>
      </c>
    </row>
    <row r="73">
      <c r="A73" s="11">
        <v>12.0</v>
      </c>
      <c r="B73" s="12" t="s">
        <v>413</v>
      </c>
      <c r="C73" s="13" t="s">
        <v>335</v>
      </c>
      <c r="D73" s="13" t="s">
        <v>30</v>
      </c>
      <c r="E73" s="13" t="s">
        <v>28</v>
      </c>
      <c r="F73" s="13" t="s">
        <v>26</v>
      </c>
      <c r="G73" s="13" t="s">
        <v>339</v>
      </c>
      <c r="H73" s="13" t="s">
        <v>337</v>
      </c>
    </row>
    <row r="74">
      <c r="A74" s="11">
        <v>13.0</v>
      </c>
      <c r="B74" s="12" t="s">
        <v>414</v>
      </c>
      <c r="C74" s="13" t="s">
        <v>335</v>
      </c>
      <c r="D74" s="13" t="s">
        <v>11</v>
      </c>
      <c r="E74" s="13" t="s">
        <v>12</v>
      </c>
      <c r="F74" s="13" t="s">
        <v>20</v>
      </c>
      <c r="G74" s="13" t="s">
        <v>343</v>
      </c>
      <c r="H74" s="13" t="s">
        <v>337</v>
      </c>
    </row>
    <row r="75">
      <c r="A75" s="11">
        <v>13.0</v>
      </c>
      <c r="B75" s="12" t="s">
        <v>415</v>
      </c>
      <c r="C75" s="13" t="s">
        <v>335</v>
      </c>
      <c r="D75" s="13" t="s">
        <v>11</v>
      </c>
      <c r="E75" s="13" t="s">
        <v>23</v>
      </c>
      <c r="F75" s="13" t="s">
        <v>26</v>
      </c>
      <c r="G75" s="13" t="s">
        <v>345</v>
      </c>
      <c r="H75" s="13" t="s">
        <v>337</v>
      </c>
    </row>
    <row r="76">
      <c r="A76" s="11">
        <v>13.0</v>
      </c>
      <c r="B76" s="12" t="s">
        <v>416</v>
      </c>
      <c r="C76" s="13" t="s">
        <v>335</v>
      </c>
      <c r="D76" s="13" t="s">
        <v>11</v>
      </c>
      <c r="E76" s="13" t="s">
        <v>28</v>
      </c>
      <c r="F76" s="13" t="s">
        <v>26</v>
      </c>
      <c r="G76" s="13" t="s">
        <v>347</v>
      </c>
      <c r="H76" s="13" t="s">
        <v>337</v>
      </c>
    </row>
    <row r="77">
      <c r="A77" s="11">
        <v>13.0</v>
      </c>
      <c r="B77" s="12" t="s">
        <v>417</v>
      </c>
      <c r="C77" s="13" t="s">
        <v>335</v>
      </c>
      <c r="D77" s="13" t="s">
        <v>30</v>
      </c>
      <c r="E77" s="13" t="s">
        <v>12</v>
      </c>
      <c r="F77" s="13" t="s">
        <v>20</v>
      </c>
      <c r="G77" s="13" t="s">
        <v>336</v>
      </c>
      <c r="H77" s="13" t="s">
        <v>337</v>
      </c>
    </row>
    <row r="78">
      <c r="A78" s="11">
        <v>13.0</v>
      </c>
      <c r="B78" s="12" t="s">
        <v>418</v>
      </c>
      <c r="C78" s="13" t="s">
        <v>335</v>
      </c>
      <c r="D78" s="13" t="s">
        <v>30</v>
      </c>
      <c r="E78" s="13" t="s">
        <v>23</v>
      </c>
      <c r="F78" s="13" t="s">
        <v>26</v>
      </c>
      <c r="G78" s="13" t="s">
        <v>339</v>
      </c>
      <c r="H78" s="13" t="s">
        <v>337</v>
      </c>
    </row>
    <row r="79">
      <c r="A79" s="11">
        <v>13.0</v>
      </c>
      <c r="B79" s="12" t="s">
        <v>419</v>
      </c>
      <c r="C79" s="13" t="s">
        <v>335</v>
      </c>
      <c r="D79" s="13" t="s">
        <v>30</v>
      </c>
      <c r="E79" s="13" t="s">
        <v>28</v>
      </c>
      <c r="F79" s="13" t="s">
        <v>26</v>
      </c>
      <c r="G79" s="13" t="s">
        <v>341</v>
      </c>
      <c r="H79" s="13" t="s">
        <v>337</v>
      </c>
    </row>
    <row r="80">
      <c r="A80" s="11">
        <v>14.0</v>
      </c>
      <c r="B80" s="12" t="s">
        <v>420</v>
      </c>
      <c r="C80" s="13" t="s">
        <v>335</v>
      </c>
      <c r="D80" s="13" t="s">
        <v>11</v>
      </c>
      <c r="E80" s="13" t="s">
        <v>12</v>
      </c>
      <c r="F80" s="13" t="s">
        <v>20</v>
      </c>
      <c r="G80" s="13" t="s">
        <v>343</v>
      </c>
      <c r="H80" s="13" t="s">
        <v>337</v>
      </c>
    </row>
    <row r="81">
      <c r="A81" s="11">
        <v>14.0</v>
      </c>
      <c r="B81" s="12" t="s">
        <v>421</v>
      </c>
      <c r="C81" s="13" t="s">
        <v>335</v>
      </c>
      <c r="D81" s="13" t="s">
        <v>11</v>
      </c>
      <c r="E81" s="13" t="s">
        <v>23</v>
      </c>
      <c r="F81" s="13" t="s">
        <v>26</v>
      </c>
      <c r="G81" s="13" t="s">
        <v>345</v>
      </c>
      <c r="H81" s="13" t="s">
        <v>337</v>
      </c>
    </row>
    <row r="82">
      <c r="A82" s="11">
        <v>14.0</v>
      </c>
      <c r="B82" s="12" t="s">
        <v>422</v>
      </c>
      <c r="C82" s="13" t="s">
        <v>335</v>
      </c>
      <c r="D82" s="13" t="s">
        <v>11</v>
      </c>
      <c r="E82" s="13" t="s">
        <v>28</v>
      </c>
      <c r="F82" s="13" t="s">
        <v>26</v>
      </c>
      <c r="G82" s="13" t="s">
        <v>347</v>
      </c>
      <c r="H82" s="13" t="s">
        <v>337</v>
      </c>
    </row>
    <row r="83">
      <c r="A83" s="11">
        <v>14.0</v>
      </c>
      <c r="B83" s="12" t="s">
        <v>423</v>
      </c>
      <c r="C83" s="13" t="s">
        <v>335</v>
      </c>
      <c r="D83" s="13" t="s">
        <v>30</v>
      </c>
      <c r="E83" s="13" t="s">
        <v>12</v>
      </c>
      <c r="F83" s="13" t="s">
        <v>20</v>
      </c>
      <c r="G83" s="13" t="s">
        <v>336</v>
      </c>
      <c r="H83" s="13" t="s">
        <v>337</v>
      </c>
    </row>
    <row r="84">
      <c r="A84" s="11">
        <v>14.0</v>
      </c>
      <c r="B84" s="12" t="s">
        <v>424</v>
      </c>
      <c r="C84" s="13" t="s">
        <v>335</v>
      </c>
      <c r="D84" s="13" t="s">
        <v>30</v>
      </c>
      <c r="E84" s="13" t="s">
        <v>23</v>
      </c>
      <c r="F84" s="13" t="s">
        <v>26</v>
      </c>
      <c r="G84" s="13" t="s">
        <v>339</v>
      </c>
      <c r="H84" s="13" t="s">
        <v>337</v>
      </c>
    </row>
    <row r="85">
      <c r="A85" s="11">
        <v>14.0</v>
      </c>
      <c r="B85" s="12" t="s">
        <v>425</v>
      </c>
      <c r="C85" s="13" t="s">
        <v>335</v>
      </c>
      <c r="D85" s="13" t="s">
        <v>30</v>
      </c>
      <c r="E85" s="13" t="s">
        <v>28</v>
      </c>
      <c r="F85" s="13" t="s">
        <v>26</v>
      </c>
      <c r="G85" s="13" t="s">
        <v>341</v>
      </c>
      <c r="H85" s="13" t="s">
        <v>337</v>
      </c>
    </row>
    <row r="86">
      <c r="A86" s="11">
        <v>15.0</v>
      </c>
      <c r="B86" s="12" t="s">
        <v>426</v>
      </c>
      <c r="C86" s="13" t="s">
        <v>335</v>
      </c>
      <c r="D86" s="13" t="s">
        <v>11</v>
      </c>
      <c r="E86" s="13" t="s">
        <v>12</v>
      </c>
      <c r="F86" s="13" t="s">
        <v>20</v>
      </c>
      <c r="G86" s="13" t="s">
        <v>343</v>
      </c>
      <c r="H86" s="13" t="s">
        <v>337</v>
      </c>
    </row>
    <row r="87">
      <c r="A87" s="11">
        <v>15.0</v>
      </c>
      <c r="B87" s="12" t="s">
        <v>427</v>
      </c>
      <c r="C87" s="13" t="s">
        <v>335</v>
      </c>
      <c r="D87" s="13" t="s">
        <v>11</v>
      </c>
      <c r="E87" s="13" t="s">
        <v>23</v>
      </c>
      <c r="F87" s="13" t="s">
        <v>26</v>
      </c>
      <c r="G87" s="13" t="s">
        <v>345</v>
      </c>
      <c r="H87" s="13" t="s">
        <v>337</v>
      </c>
    </row>
    <row r="88">
      <c r="A88" s="11">
        <v>15.0</v>
      </c>
      <c r="B88" s="12" t="s">
        <v>428</v>
      </c>
      <c r="C88" s="13" t="s">
        <v>335</v>
      </c>
      <c r="D88" s="13" t="s">
        <v>11</v>
      </c>
      <c r="E88" s="13" t="s">
        <v>28</v>
      </c>
      <c r="F88" s="13" t="s">
        <v>26</v>
      </c>
      <c r="G88" s="13" t="s">
        <v>347</v>
      </c>
      <c r="H88" s="13" t="s">
        <v>337</v>
      </c>
    </row>
    <row r="89">
      <c r="A89" s="11">
        <v>15.0</v>
      </c>
      <c r="B89" s="12" t="s">
        <v>429</v>
      </c>
      <c r="C89" s="13" t="s">
        <v>335</v>
      </c>
      <c r="D89" s="13" t="s">
        <v>30</v>
      </c>
      <c r="E89" s="13" t="s">
        <v>12</v>
      </c>
      <c r="F89" s="13" t="s">
        <v>20</v>
      </c>
      <c r="G89" s="13" t="s">
        <v>336</v>
      </c>
      <c r="H89" s="13" t="s">
        <v>337</v>
      </c>
    </row>
    <row r="90">
      <c r="A90" s="11">
        <v>15.0</v>
      </c>
      <c r="B90" s="12" t="s">
        <v>430</v>
      </c>
      <c r="C90" s="13" t="s">
        <v>335</v>
      </c>
      <c r="D90" s="13" t="s">
        <v>30</v>
      </c>
      <c r="E90" s="13" t="s">
        <v>23</v>
      </c>
      <c r="F90" s="13" t="s">
        <v>26</v>
      </c>
      <c r="G90" s="13" t="s">
        <v>339</v>
      </c>
      <c r="H90" s="13" t="s">
        <v>337</v>
      </c>
    </row>
    <row r="91">
      <c r="A91" s="11">
        <v>15.0</v>
      </c>
      <c r="B91" s="12" t="s">
        <v>431</v>
      </c>
      <c r="C91" s="13" t="s">
        <v>335</v>
      </c>
      <c r="D91" s="13" t="s">
        <v>30</v>
      </c>
      <c r="E91" s="13" t="s">
        <v>28</v>
      </c>
      <c r="F91" s="13" t="s">
        <v>26</v>
      </c>
      <c r="G91" s="13" t="s">
        <v>341</v>
      </c>
      <c r="H91" s="13" t="s">
        <v>337</v>
      </c>
    </row>
    <row r="92">
      <c r="A92" s="11">
        <v>16.0</v>
      </c>
      <c r="B92" s="12" t="s">
        <v>432</v>
      </c>
      <c r="C92" s="13" t="s">
        <v>335</v>
      </c>
      <c r="D92" s="13" t="s">
        <v>11</v>
      </c>
      <c r="E92" s="13" t="s">
        <v>12</v>
      </c>
      <c r="F92" s="13" t="s">
        <v>20</v>
      </c>
      <c r="G92" s="13" t="s">
        <v>343</v>
      </c>
      <c r="H92" s="13" t="s">
        <v>337</v>
      </c>
    </row>
    <row r="93">
      <c r="A93" s="11">
        <v>16.0</v>
      </c>
      <c r="B93" s="12" t="s">
        <v>433</v>
      </c>
      <c r="C93" s="13" t="s">
        <v>335</v>
      </c>
      <c r="D93" s="13" t="s">
        <v>11</v>
      </c>
      <c r="E93" s="13" t="s">
        <v>23</v>
      </c>
      <c r="F93" s="13" t="s">
        <v>26</v>
      </c>
      <c r="G93" s="13" t="s">
        <v>345</v>
      </c>
      <c r="H93" s="13" t="s">
        <v>337</v>
      </c>
    </row>
    <row r="94">
      <c r="A94" s="11">
        <v>16.0</v>
      </c>
      <c r="B94" s="12" t="s">
        <v>434</v>
      </c>
      <c r="C94" s="13" t="s">
        <v>335</v>
      </c>
      <c r="D94" s="13" t="s">
        <v>11</v>
      </c>
      <c r="E94" s="13" t="s">
        <v>28</v>
      </c>
      <c r="F94" s="13" t="s">
        <v>26</v>
      </c>
      <c r="G94" s="13" t="s">
        <v>347</v>
      </c>
      <c r="H94" s="13" t="s">
        <v>337</v>
      </c>
    </row>
    <row r="95">
      <c r="A95" s="11">
        <v>16.0</v>
      </c>
      <c r="B95" s="12" t="s">
        <v>435</v>
      </c>
      <c r="C95" s="13" t="s">
        <v>335</v>
      </c>
      <c r="D95" s="13" t="s">
        <v>30</v>
      </c>
      <c r="E95" s="13" t="s">
        <v>12</v>
      </c>
      <c r="F95" s="13" t="s">
        <v>20</v>
      </c>
      <c r="G95" s="13" t="s">
        <v>336</v>
      </c>
      <c r="H95" s="13" t="s">
        <v>337</v>
      </c>
    </row>
    <row r="96">
      <c r="A96" s="11">
        <v>16.0</v>
      </c>
      <c r="B96" s="12" t="s">
        <v>436</v>
      </c>
      <c r="C96" s="13" t="s">
        <v>335</v>
      </c>
      <c r="D96" s="13" t="s">
        <v>30</v>
      </c>
      <c r="E96" s="13" t="s">
        <v>23</v>
      </c>
      <c r="F96" s="13" t="s">
        <v>26</v>
      </c>
      <c r="G96" s="13" t="s">
        <v>339</v>
      </c>
      <c r="H96" s="13" t="s">
        <v>337</v>
      </c>
    </row>
    <row r="97">
      <c r="A97" s="11">
        <v>16.0</v>
      </c>
      <c r="B97" s="12" t="s">
        <v>437</v>
      </c>
      <c r="C97" s="13" t="s">
        <v>335</v>
      </c>
      <c r="D97" s="13" t="s">
        <v>30</v>
      </c>
      <c r="E97" s="13" t="s">
        <v>28</v>
      </c>
      <c r="F97" s="13" t="s">
        <v>26</v>
      </c>
      <c r="G97" s="13" t="s">
        <v>341</v>
      </c>
      <c r="H97" s="13" t="s">
        <v>337</v>
      </c>
    </row>
    <row r="98">
      <c r="A98" s="11">
        <v>17.0</v>
      </c>
      <c r="B98" s="12" t="s">
        <v>438</v>
      </c>
      <c r="C98" s="13" t="s">
        <v>335</v>
      </c>
      <c r="D98" s="13" t="s">
        <v>11</v>
      </c>
      <c r="E98" s="13" t="s">
        <v>12</v>
      </c>
      <c r="F98" s="13" t="s">
        <v>20</v>
      </c>
      <c r="G98" s="13" t="s">
        <v>345</v>
      </c>
      <c r="H98" s="13" t="s">
        <v>337</v>
      </c>
    </row>
    <row r="99">
      <c r="A99" s="11">
        <v>17.0</v>
      </c>
      <c r="B99" s="12" t="s">
        <v>439</v>
      </c>
      <c r="C99" s="13" t="s">
        <v>335</v>
      </c>
      <c r="D99" s="13" t="s">
        <v>11</v>
      </c>
      <c r="E99" s="13" t="s">
        <v>23</v>
      </c>
      <c r="F99" s="13" t="s">
        <v>26</v>
      </c>
      <c r="G99" s="13" t="s">
        <v>347</v>
      </c>
      <c r="H99" s="13" t="s">
        <v>337</v>
      </c>
    </row>
    <row r="100">
      <c r="A100" s="11">
        <v>17.0</v>
      </c>
      <c r="B100" s="12" t="s">
        <v>440</v>
      </c>
      <c r="C100" s="13" t="s">
        <v>335</v>
      </c>
      <c r="D100" s="13" t="s">
        <v>11</v>
      </c>
      <c r="E100" s="13" t="s">
        <v>28</v>
      </c>
      <c r="F100" s="13" t="s">
        <v>26</v>
      </c>
      <c r="G100" s="13" t="s">
        <v>336</v>
      </c>
      <c r="H100" s="13" t="s">
        <v>337</v>
      </c>
    </row>
    <row r="101">
      <c r="A101" s="11">
        <v>17.0</v>
      </c>
      <c r="B101" s="12" t="s">
        <v>441</v>
      </c>
      <c r="C101" s="13" t="s">
        <v>335</v>
      </c>
      <c r="D101" s="13" t="s">
        <v>30</v>
      </c>
      <c r="E101" s="13" t="s">
        <v>12</v>
      </c>
      <c r="F101" s="13" t="s">
        <v>20</v>
      </c>
      <c r="G101" s="13" t="s">
        <v>339</v>
      </c>
      <c r="H101" s="13" t="s">
        <v>337</v>
      </c>
    </row>
    <row r="102">
      <c r="A102" s="11">
        <v>17.0</v>
      </c>
      <c r="B102" s="12" t="s">
        <v>442</v>
      </c>
      <c r="C102" s="13" t="s">
        <v>335</v>
      </c>
      <c r="D102" s="13" t="s">
        <v>30</v>
      </c>
      <c r="E102" s="13" t="s">
        <v>23</v>
      </c>
      <c r="F102" s="13" t="s">
        <v>26</v>
      </c>
      <c r="G102" s="13" t="s">
        <v>341</v>
      </c>
      <c r="H102" s="13" t="s">
        <v>337</v>
      </c>
    </row>
    <row r="103">
      <c r="A103" s="11">
        <v>17.0</v>
      </c>
      <c r="B103" s="12" t="s">
        <v>443</v>
      </c>
      <c r="C103" s="13" t="s">
        <v>335</v>
      </c>
      <c r="D103" s="13" t="s">
        <v>30</v>
      </c>
      <c r="E103" s="13" t="s">
        <v>28</v>
      </c>
      <c r="F103" s="13" t="s">
        <v>26</v>
      </c>
      <c r="G103" s="13" t="s">
        <v>343</v>
      </c>
      <c r="H103" s="13" t="s">
        <v>337</v>
      </c>
    </row>
    <row r="104">
      <c r="A104" s="11">
        <v>18.0</v>
      </c>
      <c r="B104" s="12" t="s">
        <v>444</v>
      </c>
      <c r="C104" s="13" t="s">
        <v>335</v>
      </c>
      <c r="D104" s="13" t="s">
        <v>11</v>
      </c>
      <c r="E104" s="13" t="s">
        <v>12</v>
      </c>
      <c r="F104" s="13" t="s">
        <v>20</v>
      </c>
      <c r="G104" s="13" t="s">
        <v>345</v>
      </c>
      <c r="H104" s="13" t="s">
        <v>337</v>
      </c>
    </row>
    <row r="105">
      <c r="A105" s="11">
        <v>18.0</v>
      </c>
      <c r="B105" s="12" t="s">
        <v>445</v>
      </c>
      <c r="C105" s="13" t="s">
        <v>335</v>
      </c>
      <c r="D105" s="13" t="s">
        <v>11</v>
      </c>
      <c r="E105" s="13" t="s">
        <v>23</v>
      </c>
      <c r="F105" s="13" t="s">
        <v>26</v>
      </c>
      <c r="G105" s="13" t="s">
        <v>347</v>
      </c>
      <c r="H105" s="13" t="s">
        <v>337</v>
      </c>
    </row>
    <row r="106">
      <c r="A106" s="11">
        <v>18.0</v>
      </c>
      <c r="B106" s="12" t="s">
        <v>446</v>
      </c>
      <c r="C106" s="13" t="s">
        <v>335</v>
      </c>
      <c r="D106" s="13" t="s">
        <v>11</v>
      </c>
      <c r="E106" s="13" t="s">
        <v>28</v>
      </c>
      <c r="F106" s="13" t="s">
        <v>26</v>
      </c>
      <c r="G106" s="13" t="s">
        <v>336</v>
      </c>
      <c r="H106" s="13" t="s">
        <v>337</v>
      </c>
    </row>
    <row r="107">
      <c r="A107" s="11">
        <v>18.0</v>
      </c>
      <c r="B107" s="12" t="s">
        <v>447</v>
      </c>
      <c r="C107" s="13" t="s">
        <v>335</v>
      </c>
      <c r="D107" s="13" t="s">
        <v>30</v>
      </c>
      <c r="E107" s="13" t="s">
        <v>12</v>
      </c>
      <c r="F107" s="13" t="s">
        <v>20</v>
      </c>
      <c r="G107" s="13" t="s">
        <v>339</v>
      </c>
      <c r="H107" s="13" t="s">
        <v>337</v>
      </c>
    </row>
    <row r="108">
      <c r="A108" s="11">
        <v>18.0</v>
      </c>
      <c r="B108" s="12" t="s">
        <v>448</v>
      </c>
      <c r="C108" s="13" t="s">
        <v>335</v>
      </c>
      <c r="D108" s="13" t="s">
        <v>30</v>
      </c>
      <c r="E108" s="13" t="s">
        <v>23</v>
      </c>
      <c r="F108" s="13" t="s">
        <v>26</v>
      </c>
      <c r="G108" s="13" t="s">
        <v>341</v>
      </c>
      <c r="H108" s="13" t="s">
        <v>337</v>
      </c>
    </row>
    <row r="109">
      <c r="A109" s="11">
        <v>18.0</v>
      </c>
      <c r="B109" s="12" t="s">
        <v>449</v>
      </c>
      <c r="C109" s="13" t="s">
        <v>335</v>
      </c>
      <c r="D109" s="13" t="s">
        <v>30</v>
      </c>
      <c r="E109" s="13" t="s">
        <v>28</v>
      </c>
      <c r="F109" s="13" t="s">
        <v>26</v>
      </c>
      <c r="G109" s="13" t="s">
        <v>343</v>
      </c>
      <c r="H109" s="13" t="s">
        <v>337</v>
      </c>
    </row>
    <row r="110">
      <c r="A110" s="11">
        <v>19.0</v>
      </c>
      <c r="B110" s="12" t="s">
        <v>450</v>
      </c>
      <c r="C110" s="13" t="s">
        <v>335</v>
      </c>
      <c r="D110" s="13" t="s">
        <v>11</v>
      </c>
      <c r="E110" s="13" t="s">
        <v>12</v>
      </c>
      <c r="F110" s="13" t="s">
        <v>20</v>
      </c>
      <c r="G110" s="13" t="s">
        <v>345</v>
      </c>
      <c r="H110" s="13" t="s">
        <v>337</v>
      </c>
    </row>
    <row r="111">
      <c r="A111" s="11">
        <v>19.0</v>
      </c>
      <c r="B111" s="12" t="s">
        <v>451</v>
      </c>
      <c r="C111" s="13" t="s">
        <v>335</v>
      </c>
      <c r="D111" s="13" t="s">
        <v>11</v>
      </c>
      <c r="E111" s="13" t="s">
        <v>23</v>
      </c>
      <c r="F111" s="13" t="s">
        <v>26</v>
      </c>
      <c r="G111" s="13" t="s">
        <v>347</v>
      </c>
      <c r="H111" s="13" t="s">
        <v>337</v>
      </c>
    </row>
    <row r="112">
      <c r="A112" s="11">
        <v>19.0</v>
      </c>
      <c r="B112" s="12" t="s">
        <v>452</v>
      </c>
      <c r="C112" s="13" t="s">
        <v>335</v>
      </c>
      <c r="D112" s="13" t="s">
        <v>11</v>
      </c>
      <c r="E112" s="13" t="s">
        <v>28</v>
      </c>
      <c r="F112" s="13" t="s">
        <v>26</v>
      </c>
      <c r="G112" s="13" t="s">
        <v>336</v>
      </c>
      <c r="H112" s="13" t="s">
        <v>337</v>
      </c>
    </row>
    <row r="113">
      <c r="A113" s="11">
        <v>19.0</v>
      </c>
      <c r="B113" s="12" t="s">
        <v>453</v>
      </c>
      <c r="C113" s="13" t="s">
        <v>335</v>
      </c>
      <c r="D113" s="13" t="s">
        <v>30</v>
      </c>
      <c r="E113" s="13" t="s">
        <v>12</v>
      </c>
      <c r="F113" s="13" t="s">
        <v>20</v>
      </c>
      <c r="G113" s="13" t="s">
        <v>339</v>
      </c>
      <c r="H113" s="13" t="s">
        <v>337</v>
      </c>
    </row>
    <row r="114">
      <c r="A114" s="11">
        <v>19.0</v>
      </c>
      <c r="B114" s="12" t="s">
        <v>454</v>
      </c>
      <c r="C114" s="13" t="s">
        <v>335</v>
      </c>
      <c r="D114" s="13" t="s">
        <v>30</v>
      </c>
      <c r="E114" s="13" t="s">
        <v>23</v>
      </c>
      <c r="F114" s="13" t="s">
        <v>26</v>
      </c>
      <c r="G114" s="13" t="s">
        <v>341</v>
      </c>
      <c r="H114" s="13" t="s">
        <v>337</v>
      </c>
    </row>
    <row r="115">
      <c r="A115" s="11">
        <v>19.0</v>
      </c>
      <c r="B115" s="12" t="s">
        <v>455</v>
      </c>
      <c r="C115" s="13" t="s">
        <v>335</v>
      </c>
      <c r="D115" s="13" t="s">
        <v>30</v>
      </c>
      <c r="E115" s="13" t="s">
        <v>28</v>
      </c>
      <c r="F115" s="13" t="s">
        <v>26</v>
      </c>
      <c r="G115" s="13" t="s">
        <v>343</v>
      </c>
      <c r="H115" s="13" t="s">
        <v>337</v>
      </c>
    </row>
    <row r="116">
      <c r="A116" s="11">
        <v>20.0</v>
      </c>
      <c r="B116" s="12" t="s">
        <v>456</v>
      </c>
      <c r="C116" s="13" t="s">
        <v>335</v>
      </c>
      <c r="D116" s="13" t="s">
        <v>11</v>
      </c>
      <c r="E116" s="13" t="s">
        <v>12</v>
      </c>
      <c r="F116" s="13" t="s">
        <v>20</v>
      </c>
      <c r="G116" s="13" t="s">
        <v>345</v>
      </c>
      <c r="H116" s="13" t="s">
        <v>337</v>
      </c>
    </row>
    <row r="117">
      <c r="A117" s="11">
        <v>20.0</v>
      </c>
      <c r="B117" s="12" t="s">
        <v>457</v>
      </c>
      <c r="C117" s="13" t="s">
        <v>335</v>
      </c>
      <c r="D117" s="13" t="s">
        <v>11</v>
      </c>
      <c r="E117" s="13" t="s">
        <v>23</v>
      </c>
      <c r="F117" s="13" t="s">
        <v>26</v>
      </c>
      <c r="G117" s="13" t="s">
        <v>347</v>
      </c>
      <c r="H117" s="13" t="s">
        <v>337</v>
      </c>
    </row>
    <row r="118">
      <c r="A118" s="11">
        <v>20.0</v>
      </c>
      <c r="B118" s="12" t="s">
        <v>458</v>
      </c>
      <c r="C118" s="13" t="s">
        <v>335</v>
      </c>
      <c r="D118" s="13" t="s">
        <v>11</v>
      </c>
      <c r="E118" s="13" t="s">
        <v>28</v>
      </c>
      <c r="F118" s="13" t="s">
        <v>26</v>
      </c>
      <c r="G118" s="13" t="s">
        <v>336</v>
      </c>
      <c r="H118" s="13" t="s">
        <v>337</v>
      </c>
    </row>
    <row r="119">
      <c r="A119" s="11">
        <v>20.0</v>
      </c>
      <c r="B119" s="12" t="s">
        <v>459</v>
      </c>
      <c r="C119" s="13" t="s">
        <v>335</v>
      </c>
      <c r="D119" s="13" t="s">
        <v>30</v>
      </c>
      <c r="E119" s="13" t="s">
        <v>12</v>
      </c>
      <c r="F119" s="13" t="s">
        <v>20</v>
      </c>
      <c r="G119" s="13" t="s">
        <v>339</v>
      </c>
      <c r="H119" s="13" t="s">
        <v>337</v>
      </c>
    </row>
    <row r="120">
      <c r="A120" s="11">
        <v>20.0</v>
      </c>
      <c r="B120" s="12" t="s">
        <v>460</v>
      </c>
      <c r="C120" s="13" t="s">
        <v>335</v>
      </c>
      <c r="D120" s="13" t="s">
        <v>30</v>
      </c>
      <c r="E120" s="13" t="s">
        <v>23</v>
      </c>
      <c r="F120" s="13" t="s">
        <v>26</v>
      </c>
      <c r="G120" s="13" t="s">
        <v>341</v>
      </c>
      <c r="H120" s="13" t="s">
        <v>337</v>
      </c>
    </row>
    <row r="121">
      <c r="A121" s="11">
        <v>20.0</v>
      </c>
      <c r="B121" s="12" t="s">
        <v>461</v>
      </c>
      <c r="C121" s="13" t="s">
        <v>335</v>
      </c>
      <c r="D121" s="13" t="s">
        <v>30</v>
      </c>
      <c r="E121" s="13" t="s">
        <v>28</v>
      </c>
      <c r="F121" s="13" t="s">
        <v>26</v>
      </c>
      <c r="G121" s="13" t="s">
        <v>343</v>
      </c>
      <c r="H121" s="13" t="s">
        <v>337</v>
      </c>
    </row>
    <row r="122">
      <c r="A122" s="11">
        <v>21.0</v>
      </c>
      <c r="B122" s="12" t="s">
        <v>462</v>
      </c>
      <c r="C122" s="13" t="s">
        <v>335</v>
      </c>
      <c r="D122" s="13" t="s">
        <v>11</v>
      </c>
      <c r="E122" s="13" t="s">
        <v>12</v>
      </c>
      <c r="F122" s="13" t="s">
        <v>20</v>
      </c>
      <c r="G122" s="13" t="s">
        <v>347</v>
      </c>
      <c r="H122" s="13" t="s">
        <v>337</v>
      </c>
    </row>
    <row r="123">
      <c r="A123" s="11">
        <v>21.0</v>
      </c>
      <c r="B123" s="12" t="s">
        <v>463</v>
      </c>
      <c r="C123" s="13" t="s">
        <v>335</v>
      </c>
      <c r="D123" s="13" t="s">
        <v>11</v>
      </c>
      <c r="E123" s="13" t="s">
        <v>23</v>
      </c>
      <c r="F123" s="13" t="s">
        <v>26</v>
      </c>
      <c r="G123" s="13" t="s">
        <v>336</v>
      </c>
      <c r="H123" s="13" t="s">
        <v>337</v>
      </c>
    </row>
    <row r="124">
      <c r="A124" s="11">
        <v>21.0</v>
      </c>
      <c r="B124" s="12" t="s">
        <v>464</v>
      </c>
      <c r="C124" s="13" t="s">
        <v>335</v>
      </c>
      <c r="D124" s="13" t="s">
        <v>11</v>
      </c>
      <c r="E124" s="13" t="s">
        <v>28</v>
      </c>
      <c r="F124" s="13" t="s">
        <v>26</v>
      </c>
      <c r="G124" s="13" t="s">
        <v>339</v>
      </c>
      <c r="H124" s="13" t="s">
        <v>337</v>
      </c>
    </row>
    <row r="125">
      <c r="A125" s="11">
        <v>21.0</v>
      </c>
      <c r="B125" s="12" t="s">
        <v>465</v>
      </c>
      <c r="C125" s="13" t="s">
        <v>335</v>
      </c>
      <c r="D125" s="13" t="s">
        <v>30</v>
      </c>
      <c r="E125" s="13" t="s">
        <v>12</v>
      </c>
      <c r="F125" s="13" t="s">
        <v>20</v>
      </c>
      <c r="G125" s="13" t="s">
        <v>341</v>
      </c>
      <c r="H125" s="13" t="s">
        <v>337</v>
      </c>
    </row>
    <row r="126">
      <c r="A126" s="11">
        <v>21.0</v>
      </c>
      <c r="B126" s="12" t="s">
        <v>466</v>
      </c>
      <c r="C126" s="13" t="s">
        <v>335</v>
      </c>
      <c r="D126" s="13" t="s">
        <v>30</v>
      </c>
      <c r="E126" s="13" t="s">
        <v>23</v>
      </c>
      <c r="F126" s="13" t="s">
        <v>26</v>
      </c>
      <c r="G126" s="13" t="s">
        <v>343</v>
      </c>
      <c r="H126" s="13" t="s">
        <v>337</v>
      </c>
    </row>
    <row r="127">
      <c r="A127" s="11">
        <v>21.0</v>
      </c>
      <c r="B127" s="12" t="s">
        <v>467</v>
      </c>
      <c r="C127" s="13" t="s">
        <v>335</v>
      </c>
      <c r="D127" s="13" t="s">
        <v>30</v>
      </c>
      <c r="E127" s="13" t="s">
        <v>28</v>
      </c>
      <c r="F127" s="13" t="s">
        <v>26</v>
      </c>
      <c r="G127" s="13" t="s">
        <v>345</v>
      </c>
      <c r="H127" s="13" t="s">
        <v>337</v>
      </c>
    </row>
    <row r="128">
      <c r="A128" s="11">
        <v>22.0</v>
      </c>
      <c r="B128" s="12" t="s">
        <v>468</v>
      </c>
      <c r="C128" s="13" t="s">
        <v>335</v>
      </c>
      <c r="D128" s="13" t="s">
        <v>11</v>
      </c>
      <c r="E128" s="13" t="s">
        <v>12</v>
      </c>
      <c r="F128" s="13" t="s">
        <v>20</v>
      </c>
      <c r="G128" s="13" t="s">
        <v>347</v>
      </c>
      <c r="H128" s="13" t="s">
        <v>337</v>
      </c>
    </row>
    <row r="129">
      <c r="A129" s="11">
        <v>22.0</v>
      </c>
      <c r="B129" s="12" t="s">
        <v>469</v>
      </c>
      <c r="C129" s="13" t="s">
        <v>335</v>
      </c>
      <c r="D129" s="13" t="s">
        <v>11</v>
      </c>
      <c r="E129" s="13" t="s">
        <v>23</v>
      </c>
      <c r="F129" s="13" t="s">
        <v>26</v>
      </c>
      <c r="G129" s="13" t="s">
        <v>336</v>
      </c>
      <c r="H129" s="13" t="s">
        <v>337</v>
      </c>
    </row>
    <row r="130">
      <c r="A130" s="11">
        <v>22.0</v>
      </c>
      <c r="B130" s="12" t="s">
        <v>470</v>
      </c>
      <c r="C130" s="13" t="s">
        <v>335</v>
      </c>
      <c r="D130" s="13" t="s">
        <v>11</v>
      </c>
      <c r="E130" s="13" t="s">
        <v>28</v>
      </c>
      <c r="F130" s="13" t="s">
        <v>26</v>
      </c>
      <c r="G130" s="13" t="s">
        <v>339</v>
      </c>
      <c r="H130" s="13" t="s">
        <v>337</v>
      </c>
    </row>
    <row r="131">
      <c r="A131" s="11">
        <v>22.0</v>
      </c>
      <c r="B131" s="12" t="s">
        <v>471</v>
      </c>
      <c r="C131" s="13" t="s">
        <v>335</v>
      </c>
      <c r="D131" s="13" t="s">
        <v>30</v>
      </c>
      <c r="E131" s="13" t="s">
        <v>12</v>
      </c>
      <c r="F131" s="13" t="s">
        <v>20</v>
      </c>
      <c r="G131" s="13" t="s">
        <v>341</v>
      </c>
      <c r="H131" s="13" t="s">
        <v>337</v>
      </c>
    </row>
    <row r="132">
      <c r="A132" s="11">
        <v>22.0</v>
      </c>
      <c r="B132" s="12" t="s">
        <v>472</v>
      </c>
      <c r="C132" s="13" t="s">
        <v>335</v>
      </c>
      <c r="D132" s="13" t="s">
        <v>30</v>
      </c>
      <c r="E132" s="13" t="s">
        <v>23</v>
      </c>
      <c r="F132" s="13" t="s">
        <v>26</v>
      </c>
      <c r="G132" s="13" t="s">
        <v>343</v>
      </c>
      <c r="H132" s="13" t="s">
        <v>337</v>
      </c>
    </row>
    <row r="133">
      <c r="A133" s="11">
        <v>22.0</v>
      </c>
      <c r="B133" s="12" t="s">
        <v>473</v>
      </c>
      <c r="C133" s="13" t="s">
        <v>335</v>
      </c>
      <c r="D133" s="13" t="s">
        <v>30</v>
      </c>
      <c r="E133" s="13" t="s">
        <v>28</v>
      </c>
      <c r="F133" s="13" t="s">
        <v>26</v>
      </c>
      <c r="G133" s="13" t="s">
        <v>345</v>
      </c>
      <c r="H133" s="13" t="s">
        <v>337</v>
      </c>
    </row>
    <row r="134">
      <c r="A134" s="11">
        <v>23.0</v>
      </c>
      <c r="B134" s="12" t="s">
        <v>474</v>
      </c>
      <c r="C134" s="13" t="s">
        <v>335</v>
      </c>
      <c r="D134" s="13" t="s">
        <v>11</v>
      </c>
      <c r="E134" s="13" t="s">
        <v>12</v>
      </c>
      <c r="F134" s="13" t="s">
        <v>20</v>
      </c>
      <c r="G134" s="13" t="s">
        <v>347</v>
      </c>
      <c r="H134" s="13" t="s">
        <v>337</v>
      </c>
    </row>
    <row r="135">
      <c r="A135" s="11">
        <v>23.0</v>
      </c>
      <c r="B135" s="12" t="s">
        <v>475</v>
      </c>
      <c r="C135" s="13" t="s">
        <v>335</v>
      </c>
      <c r="D135" s="13" t="s">
        <v>11</v>
      </c>
      <c r="E135" s="13" t="s">
        <v>23</v>
      </c>
      <c r="F135" s="13" t="s">
        <v>26</v>
      </c>
      <c r="G135" s="13" t="s">
        <v>336</v>
      </c>
      <c r="H135" s="13" t="s">
        <v>337</v>
      </c>
    </row>
    <row r="136">
      <c r="A136" s="11">
        <v>23.0</v>
      </c>
      <c r="B136" s="12" t="s">
        <v>476</v>
      </c>
      <c r="C136" s="13" t="s">
        <v>335</v>
      </c>
      <c r="D136" s="13" t="s">
        <v>11</v>
      </c>
      <c r="E136" s="13" t="s">
        <v>28</v>
      </c>
      <c r="F136" s="13" t="s">
        <v>26</v>
      </c>
      <c r="G136" s="13" t="s">
        <v>339</v>
      </c>
      <c r="H136" s="13" t="s">
        <v>337</v>
      </c>
    </row>
    <row r="137">
      <c r="A137" s="11">
        <v>23.0</v>
      </c>
      <c r="B137" s="12" t="s">
        <v>477</v>
      </c>
      <c r="C137" s="13" t="s">
        <v>335</v>
      </c>
      <c r="D137" s="13" t="s">
        <v>30</v>
      </c>
      <c r="E137" s="13" t="s">
        <v>12</v>
      </c>
      <c r="F137" s="13" t="s">
        <v>20</v>
      </c>
      <c r="G137" s="13" t="s">
        <v>341</v>
      </c>
      <c r="H137" s="13" t="s">
        <v>337</v>
      </c>
    </row>
    <row r="138">
      <c r="A138" s="11">
        <v>23.0</v>
      </c>
      <c r="B138" s="12" t="s">
        <v>478</v>
      </c>
      <c r="C138" s="13" t="s">
        <v>335</v>
      </c>
      <c r="D138" s="13" t="s">
        <v>30</v>
      </c>
      <c r="E138" s="13" t="s">
        <v>23</v>
      </c>
      <c r="F138" s="13" t="s">
        <v>26</v>
      </c>
      <c r="G138" s="13" t="s">
        <v>343</v>
      </c>
      <c r="H138" s="13" t="s">
        <v>337</v>
      </c>
    </row>
    <row r="139">
      <c r="A139" s="11">
        <v>23.0</v>
      </c>
      <c r="B139" s="12" t="s">
        <v>479</v>
      </c>
      <c r="C139" s="13" t="s">
        <v>335</v>
      </c>
      <c r="D139" s="13" t="s">
        <v>30</v>
      </c>
      <c r="E139" s="13" t="s">
        <v>28</v>
      </c>
      <c r="F139" s="13" t="s">
        <v>26</v>
      </c>
      <c r="G139" s="13" t="s">
        <v>345</v>
      </c>
      <c r="H139" s="13" t="s">
        <v>337</v>
      </c>
    </row>
    <row r="140">
      <c r="A140" s="11">
        <v>24.0</v>
      </c>
      <c r="B140" s="12" t="s">
        <v>480</v>
      </c>
      <c r="C140" s="13" t="s">
        <v>335</v>
      </c>
      <c r="D140" s="13" t="s">
        <v>11</v>
      </c>
      <c r="E140" s="13" t="s">
        <v>12</v>
      </c>
      <c r="F140" s="13" t="s">
        <v>20</v>
      </c>
      <c r="G140" s="13" t="s">
        <v>347</v>
      </c>
      <c r="H140" s="13" t="s">
        <v>337</v>
      </c>
    </row>
    <row r="141">
      <c r="A141" s="11">
        <v>24.0</v>
      </c>
      <c r="B141" s="12" t="s">
        <v>481</v>
      </c>
      <c r="C141" s="13" t="s">
        <v>335</v>
      </c>
      <c r="D141" s="13" t="s">
        <v>11</v>
      </c>
      <c r="E141" s="13" t="s">
        <v>23</v>
      </c>
      <c r="F141" s="13" t="s">
        <v>26</v>
      </c>
      <c r="G141" s="13" t="s">
        <v>336</v>
      </c>
      <c r="H141" s="13" t="s">
        <v>337</v>
      </c>
    </row>
    <row r="142">
      <c r="A142" s="11">
        <v>24.0</v>
      </c>
      <c r="B142" s="12" t="s">
        <v>482</v>
      </c>
      <c r="C142" s="13" t="s">
        <v>335</v>
      </c>
      <c r="D142" s="13" t="s">
        <v>11</v>
      </c>
      <c r="E142" s="13" t="s">
        <v>28</v>
      </c>
      <c r="F142" s="13" t="s">
        <v>26</v>
      </c>
      <c r="G142" s="13" t="s">
        <v>339</v>
      </c>
      <c r="H142" s="13" t="s">
        <v>337</v>
      </c>
    </row>
    <row r="143">
      <c r="A143" s="11">
        <v>24.0</v>
      </c>
      <c r="B143" s="12" t="s">
        <v>483</v>
      </c>
      <c r="C143" s="13" t="s">
        <v>335</v>
      </c>
      <c r="D143" s="13" t="s">
        <v>30</v>
      </c>
      <c r="E143" s="13" t="s">
        <v>12</v>
      </c>
      <c r="F143" s="13" t="s">
        <v>20</v>
      </c>
      <c r="G143" s="13" t="s">
        <v>341</v>
      </c>
      <c r="H143" s="13" t="s">
        <v>337</v>
      </c>
    </row>
    <row r="144">
      <c r="A144" s="11">
        <v>24.0</v>
      </c>
      <c r="B144" s="12" t="s">
        <v>484</v>
      </c>
      <c r="C144" s="13" t="s">
        <v>335</v>
      </c>
      <c r="D144" s="13" t="s">
        <v>30</v>
      </c>
      <c r="E144" s="13" t="s">
        <v>23</v>
      </c>
      <c r="F144" s="13" t="s">
        <v>26</v>
      </c>
      <c r="G144" s="13" t="s">
        <v>343</v>
      </c>
      <c r="H144" s="13" t="s">
        <v>337</v>
      </c>
    </row>
    <row r="145">
      <c r="A145" s="11">
        <v>24.0</v>
      </c>
      <c r="B145" s="12" t="s">
        <v>485</v>
      </c>
      <c r="C145" s="13" t="s">
        <v>335</v>
      </c>
      <c r="D145" s="13" t="s">
        <v>30</v>
      </c>
      <c r="E145" s="13" t="s">
        <v>28</v>
      </c>
      <c r="F145" s="13" t="s">
        <v>26</v>
      </c>
      <c r="G145" s="13" t="s">
        <v>345</v>
      </c>
      <c r="H145" s="13" t="s">
        <v>337</v>
      </c>
    </row>
    <row r="146">
      <c r="A146" s="11">
        <v>25.0</v>
      </c>
      <c r="B146" s="12" t="s">
        <v>486</v>
      </c>
      <c r="C146" s="13" t="s">
        <v>487</v>
      </c>
      <c r="D146" s="13" t="s">
        <v>488</v>
      </c>
      <c r="E146" s="13" t="s">
        <v>488</v>
      </c>
      <c r="F146" s="13" t="s">
        <v>20</v>
      </c>
      <c r="G146" s="13" t="s">
        <v>336</v>
      </c>
      <c r="H146" s="13" t="s">
        <v>337</v>
      </c>
    </row>
    <row r="147">
      <c r="A147" s="11">
        <v>26.0</v>
      </c>
      <c r="B147" s="12" t="s">
        <v>489</v>
      </c>
      <c r="C147" s="13" t="s">
        <v>487</v>
      </c>
      <c r="D147" s="13" t="s">
        <v>488</v>
      </c>
      <c r="E147" s="13" t="s">
        <v>488</v>
      </c>
      <c r="F147" s="13" t="s">
        <v>20</v>
      </c>
      <c r="G147" s="13" t="s">
        <v>336</v>
      </c>
      <c r="H147" s="13" t="s">
        <v>337</v>
      </c>
    </row>
    <row r="148">
      <c r="A148" s="11">
        <v>27.0</v>
      </c>
      <c r="B148" s="12" t="s">
        <v>490</v>
      </c>
      <c r="C148" s="13" t="s">
        <v>487</v>
      </c>
      <c r="D148" s="13" t="s">
        <v>488</v>
      </c>
      <c r="E148" s="13" t="s">
        <v>488</v>
      </c>
      <c r="F148" s="13" t="s">
        <v>20</v>
      </c>
      <c r="G148" s="13" t="s">
        <v>336</v>
      </c>
      <c r="H148" s="13" t="s">
        <v>337</v>
      </c>
    </row>
    <row r="149">
      <c r="A149" s="11">
        <v>28.0</v>
      </c>
      <c r="B149" s="12" t="s">
        <v>491</v>
      </c>
      <c r="C149" s="13" t="s">
        <v>487</v>
      </c>
      <c r="D149" s="13" t="s">
        <v>488</v>
      </c>
      <c r="E149" s="13" t="s">
        <v>488</v>
      </c>
      <c r="F149" s="13" t="s">
        <v>20</v>
      </c>
      <c r="G149" s="13" t="s">
        <v>336</v>
      </c>
      <c r="H149" s="13" t="s">
        <v>337</v>
      </c>
    </row>
    <row r="150">
      <c r="A150" s="11">
        <v>29.0</v>
      </c>
      <c r="B150" s="12" t="s">
        <v>492</v>
      </c>
      <c r="C150" s="13" t="s">
        <v>487</v>
      </c>
      <c r="D150" s="13" t="s">
        <v>488</v>
      </c>
      <c r="E150" s="13" t="s">
        <v>488</v>
      </c>
      <c r="F150" s="13" t="s">
        <v>20</v>
      </c>
      <c r="G150" s="13" t="s">
        <v>336</v>
      </c>
      <c r="H150" s="13" t="s">
        <v>337</v>
      </c>
    </row>
    <row r="151">
      <c r="A151" s="11">
        <v>30.0</v>
      </c>
      <c r="B151" s="12" t="s">
        <v>493</v>
      </c>
      <c r="C151" s="13" t="s">
        <v>487</v>
      </c>
      <c r="D151" s="13" t="s">
        <v>488</v>
      </c>
      <c r="E151" s="13" t="s">
        <v>488</v>
      </c>
      <c r="F151" s="13" t="s">
        <v>20</v>
      </c>
      <c r="G151" s="13" t="s">
        <v>336</v>
      </c>
      <c r="H151" s="13" t="s">
        <v>337</v>
      </c>
    </row>
    <row r="152">
      <c r="A152" s="11">
        <v>31.0</v>
      </c>
      <c r="B152" s="12" t="s">
        <v>494</v>
      </c>
      <c r="C152" s="13" t="s">
        <v>487</v>
      </c>
      <c r="D152" s="13" t="s">
        <v>488</v>
      </c>
      <c r="E152" s="13" t="s">
        <v>488</v>
      </c>
      <c r="F152" s="13" t="s">
        <v>20</v>
      </c>
      <c r="G152" s="13" t="s">
        <v>336</v>
      </c>
      <c r="H152" s="13" t="s">
        <v>337</v>
      </c>
    </row>
    <row r="153">
      <c r="A153" s="11">
        <v>32.0</v>
      </c>
      <c r="B153" s="12" t="s">
        <v>495</v>
      </c>
      <c r="C153" s="13" t="s">
        <v>487</v>
      </c>
      <c r="D153" s="13" t="s">
        <v>488</v>
      </c>
      <c r="E153" s="13" t="s">
        <v>488</v>
      </c>
      <c r="F153" s="13" t="s">
        <v>20</v>
      </c>
      <c r="G153" s="13" t="s">
        <v>336</v>
      </c>
      <c r="H153" s="13" t="s">
        <v>337</v>
      </c>
    </row>
    <row r="154">
      <c r="A154" s="11">
        <v>33.0</v>
      </c>
      <c r="B154" s="13" t="s">
        <v>496</v>
      </c>
      <c r="C154" s="13" t="s">
        <v>487</v>
      </c>
      <c r="D154" s="13" t="s">
        <v>497</v>
      </c>
      <c r="E154" s="13" t="s">
        <v>497</v>
      </c>
      <c r="F154" s="13" t="s">
        <v>20</v>
      </c>
      <c r="G154" s="13" t="s">
        <v>336</v>
      </c>
      <c r="H154" s="13" t="s">
        <v>337</v>
      </c>
    </row>
    <row r="155">
      <c r="A155" s="11">
        <v>34.0</v>
      </c>
      <c r="B155" s="13" t="s">
        <v>498</v>
      </c>
      <c r="C155" s="13" t="s">
        <v>487</v>
      </c>
      <c r="D155" s="13" t="s">
        <v>497</v>
      </c>
      <c r="E155" s="13" t="s">
        <v>497</v>
      </c>
      <c r="F155" s="13" t="s">
        <v>20</v>
      </c>
      <c r="G155" s="13" t="s">
        <v>336</v>
      </c>
      <c r="H155" s="13" t="s">
        <v>337</v>
      </c>
    </row>
    <row r="156">
      <c r="A156" s="11">
        <v>35.0</v>
      </c>
      <c r="B156" s="13" t="s">
        <v>499</v>
      </c>
      <c r="C156" s="13" t="s">
        <v>487</v>
      </c>
      <c r="D156" s="13" t="s">
        <v>497</v>
      </c>
      <c r="E156" s="13" t="s">
        <v>497</v>
      </c>
      <c r="F156" s="13" t="s">
        <v>20</v>
      </c>
      <c r="G156" s="13" t="s">
        <v>336</v>
      </c>
      <c r="H156" s="13" t="s">
        <v>337</v>
      </c>
    </row>
    <row r="157">
      <c r="A157" s="11">
        <v>36.0</v>
      </c>
      <c r="B157" s="13" t="s">
        <v>500</v>
      </c>
      <c r="C157" s="13" t="s">
        <v>487</v>
      </c>
      <c r="D157" s="13" t="s">
        <v>497</v>
      </c>
      <c r="E157" s="13" t="s">
        <v>497</v>
      </c>
      <c r="F157" s="13" t="s">
        <v>20</v>
      </c>
      <c r="G157" s="13" t="s">
        <v>336</v>
      </c>
      <c r="H157" s="13" t="s">
        <v>337</v>
      </c>
    </row>
    <row r="158">
      <c r="A158" s="11">
        <v>37.0</v>
      </c>
      <c r="B158" s="13" t="s">
        <v>501</v>
      </c>
      <c r="C158" s="13" t="s">
        <v>487</v>
      </c>
      <c r="D158" s="13" t="s">
        <v>497</v>
      </c>
      <c r="E158" s="13" t="s">
        <v>497</v>
      </c>
      <c r="F158" s="13" t="s">
        <v>20</v>
      </c>
      <c r="G158" s="13" t="s">
        <v>336</v>
      </c>
      <c r="H158" s="13" t="s">
        <v>337</v>
      </c>
    </row>
    <row r="159">
      <c r="A159" s="11">
        <v>38.0</v>
      </c>
      <c r="B159" s="12" t="s">
        <v>502</v>
      </c>
      <c r="C159" s="13" t="s">
        <v>487</v>
      </c>
      <c r="D159" s="13" t="s">
        <v>497</v>
      </c>
      <c r="E159" s="13" t="s">
        <v>497</v>
      </c>
      <c r="F159" s="13" t="s">
        <v>20</v>
      </c>
      <c r="G159" s="13" t="s">
        <v>336</v>
      </c>
      <c r="H159" s="13" t="s">
        <v>337</v>
      </c>
    </row>
    <row r="160">
      <c r="A160" s="11">
        <v>39.0</v>
      </c>
      <c r="B160" s="12" t="s">
        <v>503</v>
      </c>
      <c r="C160" s="13" t="s">
        <v>487</v>
      </c>
      <c r="D160" s="13" t="s">
        <v>497</v>
      </c>
      <c r="E160" s="13" t="s">
        <v>497</v>
      </c>
      <c r="F160" s="13" t="s">
        <v>20</v>
      </c>
      <c r="G160" s="13" t="s">
        <v>336</v>
      </c>
      <c r="H160" s="13" t="s">
        <v>337</v>
      </c>
    </row>
    <row r="161">
      <c r="A161" s="11">
        <v>40.0</v>
      </c>
      <c r="B161" s="12" t="s">
        <v>504</v>
      </c>
      <c r="C161" s="13" t="s">
        <v>487</v>
      </c>
      <c r="D161" s="13" t="s">
        <v>497</v>
      </c>
      <c r="E161" s="13" t="s">
        <v>497</v>
      </c>
      <c r="F161" s="13" t="s">
        <v>20</v>
      </c>
      <c r="G161" s="13" t="s">
        <v>336</v>
      </c>
      <c r="H161" s="13" t="s">
        <v>337</v>
      </c>
    </row>
    <row r="162">
      <c r="A162" s="11">
        <v>41.0</v>
      </c>
      <c r="B162" s="12" t="s">
        <v>505</v>
      </c>
      <c r="C162" s="13" t="s">
        <v>487</v>
      </c>
      <c r="D162" s="13" t="s">
        <v>488</v>
      </c>
      <c r="E162" s="13" t="s">
        <v>497</v>
      </c>
      <c r="F162" s="13" t="s">
        <v>20</v>
      </c>
      <c r="G162" s="13" t="s">
        <v>336</v>
      </c>
      <c r="H162" s="13" t="s">
        <v>337</v>
      </c>
    </row>
    <row r="163">
      <c r="A163" s="11">
        <v>42.0</v>
      </c>
      <c r="B163" s="12" t="s">
        <v>506</v>
      </c>
      <c r="C163" s="13" t="s">
        <v>487</v>
      </c>
      <c r="D163" s="13" t="s">
        <v>488</v>
      </c>
      <c r="E163" s="13" t="s">
        <v>497</v>
      </c>
      <c r="F163" s="13" t="s">
        <v>20</v>
      </c>
      <c r="G163" s="13" t="s">
        <v>336</v>
      </c>
      <c r="H163" s="13" t="s">
        <v>337</v>
      </c>
    </row>
    <row r="164">
      <c r="A164" s="11">
        <v>43.0</v>
      </c>
      <c r="B164" s="12" t="s">
        <v>507</v>
      </c>
      <c r="C164" s="13" t="s">
        <v>487</v>
      </c>
      <c r="D164" s="13" t="s">
        <v>488</v>
      </c>
      <c r="E164" s="13" t="s">
        <v>497</v>
      </c>
      <c r="F164" s="13" t="s">
        <v>20</v>
      </c>
      <c r="G164" s="13" t="s">
        <v>336</v>
      </c>
      <c r="H164" s="13" t="s">
        <v>337</v>
      </c>
    </row>
    <row r="165">
      <c r="A165" s="11">
        <v>44.0</v>
      </c>
      <c r="B165" s="12" t="s">
        <v>508</v>
      </c>
      <c r="C165" s="13" t="s">
        <v>487</v>
      </c>
      <c r="D165" s="13" t="s">
        <v>488</v>
      </c>
      <c r="E165" s="13" t="s">
        <v>497</v>
      </c>
      <c r="F165" s="13" t="s">
        <v>20</v>
      </c>
      <c r="G165" s="13" t="s">
        <v>336</v>
      </c>
      <c r="H165" s="13" t="s">
        <v>337</v>
      </c>
    </row>
    <row r="166">
      <c r="A166" s="11">
        <v>45.0</v>
      </c>
      <c r="B166" s="12" t="s">
        <v>509</v>
      </c>
      <c r="C166" s="13" t="s">
        <v>487</v>
      </c>
      <c r="D166" s="13" t="s">
        <v>488</v>
      </c>
      <c r="E166" s="13" t="s">
        <v>497</v>
      </c>
      <c r="F166" s="13" t="s">
        <v>20</v>
      </c>
      <c r="G166" s="13" t="s">
        <v>336</v>
      </c>
      <c r="H166" s="13" t="s">
        <v>337</v>
      </c>
    </row>
    <row r="167">
      <c r="A167" s="11">
        <v>46.0</v>
      </c>
      <c r="B167" s="12" t="s">
        <v>510</v>
      </c>
      <c r="C167" s="13" t="s">
        <v>487</v>
      </c>
      <c r="D167" s="13" t="s">
        <v>488</v>
      </c>
      <c r="E167" s="13" t="s">
        <v>497</v>
      </c>
      <c r="F167" s="13" t="s">
        <v>20</v>
      </c>
      <c r="G167" s="13" t="s">
        <v>336</v>
      </c>
      <c r="H167" s="13" t="s">
        <v>337</v>
      </c>
    </row>
    <row r="168">
      <c r="A168" s="11">
        <v>47.0</v>
      </c>
      <c r="B168" s="12" t="s">
        <v>511</v>
      </c>
      <c r="C168" s="13" t="s">
        <v>487</v>
      </c>
      <c r="D168" s="13" t="s">
        <v>488</v>
      </c>
      <c r="E168" s="13" t="s">
        <v>497</v>
      </c>
      <c r="F168" s="13" t="s">
        <v>20</v>
      </c>
      <c r="G168" s="13" t="s">
        <v>336</v>
      </c>
      <c r="H168" s="13" t="s">
        <v>337</v>
      </c>
    </row>
    <row r="169">
      <c r="A169" s="11">
        <v>48.0</v>
      </c>
      <c r="B169" s="12" t="s">
        <v>512</v>
      </c>
      <c r="C169" s="13" t="s">
        <v>487</v>
      </c>
      <c r="D169" s="13" t="s">
        <v>488</v>
      </c>
      <c r="E169" s="13" t="s">
        <v>497</v>
      </c>
      <c r="F169" s="13" t="s">
        <v>20</v>
      </c>
      <c r="G169" s="13" t="s">
        <v>336</v>
      </c>
      <c r="H169" s="13" t="s">
        <v>337</v>
      </c>
    </row>
    <row r="170">
      <c r="A170" s="11">
        <v>49.0</v>
      </c>
      <c r="B170" s="12" t="s">
        <v>513</v>
      </c>
      <c r="C170" s="13" t="s">
        <v>487</v>
      </c>
      <c r="D170" s="13" t="s">
        <v>497</v>
      </c>
      <c r="E170" s="13" t="s">
        <v>497</v>
      </c>
      <c r="F170" s="13" t="s">
        <v>20</v>
      </c>
      <c r="G170" s="13" t="s">
        <v>336</v>
      </c>
      <c r="H170" s="13" t="s">
        <v>337</v>
      </c>
    </row>
    <row r="171">
      <c r="A171" s="11">
        <v>50.0</v>
      </c>
      <c r="B171" s="12" t="s">
        <v>514</v>
      </c>
      <c r="C171" s="13" t="s">
        <v>487</v>
      </c>
      <c r="D171" s="13" t="s">
        <v>497</v>
      </c>
      <c r="E171" s="13" t="s">
        <v>497</v>
      </c>
      <c r="F171" s="13" t="s">
        <v>20</v>
      </c>
      <c r="G171" s="13" t="s">
        <v>336</v>
      </c>
      <c r="H171" s="13" t="s">
        <v>337</v>
      </c>
    </row>
    <row r="172">
      <c r="A172" s="11">
        <v>51.0</v>
      </c>
      <c r="B172" s="12" t="s">
        <v>515</v>
      </c>
      <c r="C172" s="13" t="s">
        <v>487</v>
      </c>
      <c r="D172" s="13" t="s">
        <v>497</v>
      </c>
      <c r="E172" s="13" t="s">
        <v>497</v>
      </c>
      <c r="F172" s="13" t="s">
        <v>20</v>
      </c>
      <c r="G172" s="13" t="s">
        <v>336</v>
      </c>
      <c r="H172" s="13" t="s">
        <v>337</v>
      </c>
    </row>
    <row r="173">
      <c r="A173" s="11">
        <v>52.0</v>
      </c>
      <c r="B173" s="12" t="s">
        <v>516</v>
      </c>
      <c r="C173" s="13" t="s">
        <v>487</v>
      </c>
      <c r="D173" s="13" t="s">
        <v>497</v>
      </c>
      <c r="E173" s="13" t="s">
        <v>497</v>
      </c>
      <c r="F173" s="13" t="s">
        <v>20</v>
      </c>
      <c r="G173" s="13" t="s">
        <v>336</v>
      </c>
      <c r="H173" s="13" t="s">
        <v>337</v>
      </c>
    </row>
    <row r="174">
      <c r="A174" s="11">
        <v>53.0</v>
      </c>
      <c r="B174" s="12" t="s">
        <v>517</v>
      </c>
      <c r="C174" s="13" t="s">
        <v>487</v>
      </c>
      <c r="D174" s="13" t="s">
        <v>497</v>
      </c>
      <c r="E174" s="13" t="s">
        <v>497</v>
      </c>
      <c r="F174" s="13" t="s">
        <v>20</v>
      </c>
      <c r="G174" s="13" t="s">
        <v>336</v>
      </c>
      <c r="H174" s="13" t="s">
        <v>337</v>
      </c>
    </row>
    <row r="175">
      <c r="A175" s="11">
        <v>54.0</v>
      </c>
      <c r="B175" s="12" t="s">
        <v>518</v>
      </c>
      <c r="C175" s="13" t="s">
        <v>487</v>
      </c>
      <c r="D175" s="13" t="s">
        <v>497</v>
      </c>
      <c r="E175" s="13" t="s">
        <v>497</v>
      </c>
      <c r="F175" s="13" t="s">
        <v>20</v>
      </c>
      <c r="G175" s="13" t="s">
        <v>336</v>
      </c>
      <c r="H175" s="13" t="s">
        <v>337</v>
      </c>
    </row>
    <row r="176">
      <c r="A176" s="11">
        <v>55.0</v>
      </c>
      <c r="B176" s="12" t="s">
        <v>519</v>
      </c>
      <c r="C176" s="13" t="s">
        <v>487</v>
      </c>
      <c r="D176" s="13" t="s">
        <v>497</v>
      </c>
      <c r="E176" s="13" t="s">
        <v>497</v>
      </c>
      <c r="F176" s="13" t="s">
        <v>20</v>
      </c>
      <c r="G176" s="13" t="s">
        <v>336</v>
      </c>
      <c r="H176" s="13" t="s">
        <v>337</v>
      </c>
    </row>
    <row r="177">
      <c r="A177" s="11">
        <v>56.0</v>
      </c>
      <c r="B177" s="12" t="s">
        <v>520</v>
      </c>
      <c r="C177" s="13" t="s">
        <v>487</v>
      </c>
      <c r="D177" s="13" t="s">
        <v>497</v>
      </c>
      <c r="E177" s="13" t="s">
        <v>497</v>
      </c>
      <c r="F177" s="13" t="s">
        <v>20</v>
      </c>
      <c r="G177" s="13" t="s">
        <v>336</v>
      </c>
      <c r="H177" s="13" t="s">
        <v>337</v>
      </c>
    </row>
    <row r="178">
      <c r="A178" s="11">
        <v>57.0</v>
      </c>
      <c r="B178" s="12" t="s">
        <v>521</v>
      </c>
      <c r="C178" s="13" t="s">
        <v>487</v>
      </c>
      <c r="D178" s="13" t="s">
        <v>497</v>
      </c>
      <c r="E178" s="13" t="s">
        <v>497</v>
      </c>
      <c r="F178" s="13" t="s">
        <v>26</v>
      </c>
      <c r="G178" s="13" t="s">
        <v>336</v>
      </c>
      <c r="H178" s="13" t="s">
        <v>337</v>
      </c>
    </row>
    <row r="179">
      <c r="A179" s="11">
        <v>58.0</v>
      </c>
      <c r="B179" s="12" t="s">
        <v>522</v>
      </c>
      <c r="C179" s="13" t="s">
        <v>487</v>
      </c>
      <c r="D179" s="13" t="s">
        <v>497</v>
      </c>
      <c r="E179" s="13" t="s">
        <v>497</v>
      </c>
      <c r="F179" s="13" t="s">
        <v>26</v>
      </c>
      <c r="G179" s="13" t="s">
        <v>336</v>
      </c>
      <c r="H179" s="13" t="s">
        <v>337</v>
      </c>
    </row>
    <row r="180">
      <c r="A180" s="11">
        <v>59.0</v>
      </c>
      <c r="B180" s="12" t="s">
        <v>523</v>
      </c>
      <c r="C180" s="13" t="s">
        <v>487</v>
      </c>
      <c r="D180" s="13" t="s">
        <v>497</v>
      </c>
      <c r="E180" s="13" t="s">
        <v>497</v>
      </c>
      <c r="F180" s="13" t="s">
        <v>26</v>
      </c>
      <c r="G180" s="13" t="s">
        <v>336</v>
      </c>
      <c r="H180" s="13" t="s">
        <v>337</v>
      </c>
    </row>
    <row r="181">
      <c r="A181" s="11">
        <v>60.0</v>
      </c>
      <c r="B181" s="12" t="s">
        <v>524</v>
      </c>
      <c r="C181" s="13" t="s">
        <v>487</v>
      </c>
      <c r="D181" s="13" t="s">
        <v>497</v>
      </c>
      <c r="E181" s="13" t="s">
        <v>497</v>
      </c>
      <c r="F181" s="13" t="s">
        <v>26</v>
      </c>
      <c r="G181" s="13" t="s">
        <v>336</v>
      </c>
      <c r="H181" s="13" t="s">
        <v>337</v>
      </c>
    </row>
    <row r="182">
      <c r="A182" s="11">
        <v>61.0</v>
      </c>
      <c r="B182" s="12" t="s">
        <v>525</v>
      </c>
      <c r="C182" s="13" t="s">
        <v>487</v>
      </c>
      <c r="D182" s="13" t="s">
        <v>497</v>
      </c>
      <c r="E182" s="13" t="s">
        <v>497</v>
      </c>
      <c r="F182" s="13" t="s">
        <v>26</v>
      </c>
      <c r="G182" s="13" t="s">
        <v>336</v>
      </c>
      <c r="H182" s="13" t="s">
        <v>337</v>
      </c>
    </row>
    <row r="183">
      <c r="A183" s="11">
        <v>62.0</v>
      </c>
      <c r="B183" s="12" t="s">
        <v>526</v>
      </c>
      <c r="C183" s="13" t="s">
        <v>487</v>
      </c>
      <c r="D183" s="13" t="s">
        <v>497</v>
      </c>
      <c r="E183" s="13" t="s">
        <v>497</v>
      </c>
      <c r="F183" s="13" t="s">
        <v>26</v>
      </c>
      <c r="G183" s="13" t="s">
        <v>336</v>
      </c>
      <c r="H183" s="13" t="s">
        <v>337</v>
      </c>
    </row>
    <row r="184">
      <c r="A184" s="11">
        <v>63.0</v>
      </c>
      <c r="B184" s="12" t="s">
        <v>527</v>
      </c>
      <c r="C184" s="13" t="s">
        <v>487</v>
      </c>
      <c r="D184" s="13" t="s">
        <v>497</v>
      </c>
      <c r="E184" s="13" t="s">
        <v>497</v>
      </c>
      <c r="F184" s="13" t="s">
        <v>26</v>
      </c>
      <c r="G184" s="13" t="s">
        <v>336</v>
      </c>
      <c r="H184" s="13" t="s">
        <v>337</v>
      </c>
    </row>
    <row r="185">
      <c r="A185" s="11">
        <v>64.0</v>
      </c>
      <c r="B185" s="12" t="s">
        <v>528</v>
      </c>
      <c r="C185" s="13" t="s">
        <v>487</v>
      </c>
      <c r="D185" s="13" t="s">
        <v>497</v>
      </c>
      <c r="E185" s="13" t="s">
        <v>497</v>
      </c>
      <c r="F185" s="13" t="s">
        <v>26</v>
      </c>
      <c r="G185" s="13" t="s">
        <v>336</v>
      </c>
      <c r="H185" s="13" t="s">
        <v>337</v>
      </c>
    </row>
    <row r="186">
      <c r="A186" s="11">
        <v>65.0</v>
      </c>
      <c r="B186" s="12" t="s">
        <v>529</v>
      </c>
      <c r="C186" s="13" t="s">
        <v>487</v>
      </c>
      <c r="D186" s="13" t="s">
        <v>488</v>
      </c>
      <c r="E186" s="13" t="s">
        <v>497</v>
      </c>
      <c r="F186" s="13" t="s">
        <v>26</v>
      </c>
      <c r="G186" s="13" t="s">
        <v>336</v>
      </c>
      <c r="H186" s="13" t="s">
        <v>337</v>
      </c>
    </row>
    <row r="187">
      <c r="A187" s="11">
        <v>66.0</v>
      </c>
      <c r="B187" s="12" t="s">
        <v>530</v>
      </c>
      <c r="C187" s="13" t="s">
        <v>487</v>
      </c>
      <c r="D187" s="13" t="s">
        <v>488</v>
      </c>
      <c r="E187" s="13" t="s">
        <v>497</v>
      </c>
      <c r="F187" s="13" t="s">
        <v>26</v>
      </c>
      <c r="G187" s="13" t="s">
        <v>336</v>
      </c>
      <c r="H187" s="13" t="s">
        <v>337</v>
      </c>
    </row>
    <row r="188">
      <c r="A188" s="11">
        <v>67.0</v>
      </c>
      <c r="B188" s="12" t="s">
        <v>531</v>
      </c>
      <c r="C188" s="13" t="s">
        <v>487</v>
      </c>
      <c r="D188" s="13" t="s">
        <v>488</v>
      </c>
      <c r="E188" s="13" t="s">
        <v>497</v>
      </c>
      <c r="F188" s="13" t="s">
        <v>26</v>
      </c>
      <c r="G188" s="13" t="s">
        <v>336</v>
      </c>
      <c r="H188" s="13" t="s">
        <v>337</v>
      </c>
    </row>
    <row r="189">
      <c r="A189" s="11">
        <v>68.0</v>
      </c>
      <c r="B189" s="12" t="s">
        <v>532</v>
      </c>
      <c r="C189" s="13" t="s">
        <v>487</v>
      </c>
      <c r="D189" s="13" t="s">
        <v>488</v>
      </c>
      <c r="E189" s="13" t="s">
        <v>497</v>
      </c>
      <c r="F189" s="13" t="s">
        <v>26</v>
      </c>
      <c r="G189" s="13" t="s">
        <v>336</v>
      </c>
      <c r="H189" s="13" t="s">
        <v>337</v>
      </c>
    </row>
    <row r="190">
      <c r="A190" s="11">
        <v>69.0</v>
      </c>
      <c r="B190" s="12" t="s">
        <v>533</v>
      </c>
      <c r="C190" s="13" t="s">
        <v>487</v>
      </c>
      <c r="D190" s="13" t="s">
        <v>488</v>
      </c>
      <c r="E190" s="13" t="s">
        <v>497</v>
      </c>
      <c r="F190" s="13" t="s">
        <v>26</v>
      </c>
      <c r="G190" s="13" t="s">
        <v>336</v>
      </c>
      <c r="H190" s="13" t="s">
        <v>337</v>
      </c>
    </row>
    <row r="191">
      <c r="A191" s="11">
        <v>70.0</v>
      </c>
      <c r="B191" s="12" t="s">
        <v>534</v>
      </c>
      <c r="C191" s="13" t="s">
        <v>487</v>
      </c>
      <c r="D191" s="13" t="s">
        <v>488</v>
      </c>
      <c r="E191" s="13" t="s">
        <v>497</v>
      </c>
      <c r="F191" s="13" t="s">
        <v>26</v>
      </c>
      <c r="G191" s="13" t="s">
        <v>336</v>
      </c>
      <c r="H191" s="13" t="s">
        <v>337</v>
      </c>
    </row>
    <row r="192">
      <c r="A192" s="11">
        <v>71.0</v>
      </c>
      <c r="B192" s="12" t="s">
        <v>535</v>
      </c>
      <c r="C192" s="13" t="s">
        <v>487</v>
      </c>
      <c r="D192" s="13" t="s">
        <v>488</v>
      </c>
      <c r="E192" s="13" t="s">
        <v>497</v>
      </c>
      <c r="F192" s="13" t="s">
        <v>26</v>
      </c>
      <c r="G192" s="13" t="s">
        <v>336</v>
      </c>
      <c r="H192" s="13" t="s">
        <v>337</v>
      </c>
    </row>
    <row r="193">
      <c r="A193" s="11">
        <v>72.0</v>
      </c>
      <c r="B193" s="12" t="s">
        <v>536</v>
      </c>
      <c r="C193" s="13" t="s">
        <v>487</v>
      </c>
      <c r="D193" s="13" t="s">
        <v>488</v>
      </c>
      <c r="E193" s="13" t="s">
        <v>497</v>
      </c>
      <c r="F193" s="13" t="s">
        <v>26</v>
      </c>
      <c r="G193" s="13" t="s">
        <v>336</v>
      </c>
      <c r="H193" s="13" t="s">
        <v>337</v>
      </c>
    </row>
    <row r="194">
      <c r="A194" s="11">
        <v>25.0</v>
      </c>
      <c r="B194" s="12" t="s">
        <v>486</v>
      </c>
      <c r="C194" s="13" t="s">
        <v>487</v>
      </c>
      <c r="D194" s="13" t="s">
        <v>488</v>
      </c>
      <c r="E194" s="13" t="s">
        <v>488</v>
      </c>
      <c r="F194" s="13" t="s">
        <v>20</v>
      </c>
      <c r="G194" s="13" t="s">
        <v>339</v>
      </c>
      <c r="H194" s="13" t="s">
        <v>337</v>
      </c>
    </row>
    <row r="195">
      <c r="A195" s="11">
        <v>26.0</v>
      </c>
      <c r="B195" s="12" t="s">
        <v>489</v>
      </c>
      <c r="C195" s="13" t="s">
        <v>487</v>
      </c>
      <c r="D195" s="13" t="s">
        <v>488</v>
      </c>
      <c r="E195" s="13" t="s">
        <v>488</v>
      </c>
      <c r="F195" s="13" t="s">
        <v>20</v>
      </c>
      <c r="G195" s="13" t="s">
        <v>339</v>
      </c>
      <c r="H195" s="13" t="s">
        <v>337</v>
      </c>
    </row>
    <row r="196">
      <c r="A196" s="11">
        <v>27.0</v>
      </c>
      <c r="B196" s="12" t="s">
        <v>490</v>
      </c>
      <c r="C196" s="13" t="s">
        <v>487</v>
      </c>
      <c r="D196" s="13" t="s">
        <v>488</v>
      </c>
      <c r="E196" s="13" t="s">
        <v>488</v>
      </c>
      <c r="F196" s="13" t="s">
        <v>20</v>
      </c>
      <c r="G196" s="13" t="s">
        <v>339</v>
      </c>
      <c r="H196" s="13" t="s">
        <v>337</v>
      </c>
    </row>
    <row r="197">
      <c r="A197" s="11">
        <v>28.0</v>
      </c>
      <c r="B197" s="12" t="s">
        <v>491</v>
      </c>
      <c r="C197" s="13" t="s">
        <v>487</v>
      </c>
      <c r="D197" s="13" t="s">
        <v>488</v>
      </c>
      <c r="E197" s="13" t="s">
        <v>488</v>
      </c>
      <c r="F197" s="13" t="s">
        <v>20</v>
      </c>
      <c r="G197" s="13" t="s">
        <v>339</v>
      </c>
      <c r="H197" s="13" t="s">
        <v>337</v>
      </c>
    </row>
    <row r="198">
      <c r="A198" s="11">
        <v>29.0</v>
      </c>
      <c r="B198" s="12" t="s">
        <v>492</v>
      </c>
      <c r="C198" s="13" t="s">
        <v>487</v>
      </c>
      <c r="D198" s="13" t="s">
        <v>488</v>
      </c>
      <c r="E198" s="13" t="s">
        <v>488</v>
      </c>
      <c r="F198" s="13" t="s">
        <v>20</v>
      </c>
      <c r="G198" s="13" t="s">
        <v>339</v>
      </c>
      <c r="H198" s="13" t="s">
        <v>337</v>
      </c>
    </row>
    <row r="199">
      <c r="A199" s="11">
        <v>30.0</v>
      </c>
      <c r="B199" s="12" t="s">
        <v>493</v>
      </c>
      <c r="C199" s="13" t="s">
        <v>487</v>
      </c>
      <c r="D199" s="13" t="s">
        <v>488</v>
      </c>
      <c r="E199" s="13" t="s">
        <v>488</v>
      </c>
      <c r="F199" s="13" t="s">
        <v>20</v>
      </c>
      <c r="G199" s="13" t="s">
        <v>339</v>
      </c>
      <c r="H199" s="13" t="s">
        <v>337</v>
      </c>
    </row>
    <row r="200">
      <c r="A200" s="11">
        <v>31.0</v>
      </c>
      <c r="B200" s="12" t="s">
        <v>494</v>
      </c>
      <c r="C200" s="13" t="s">
        <v>487</v>
      </c>
      <c r="D200" s="13" t="s">
        <v>488</v>
      </c>
      <c r="E200" s="13" t="s">
        <v>488</v>
      </c>
      <c r="F200" s="13" t="s">
        <v>20</v>
      </c>
      <c r="G200" s="13" t="s">
        <v>339</v>
      </c>
      <c r="H200" s="13" t="s">
        <v>337</v>
      </c>
    </row>
    <row r="201">
      <c r="A201" s="11">
        <v>32.0</v>
      </c>
      <c r="B201" s="12" t="s">
        <v>495</v>
      </c>
      <c r="C201" s="13" t="s">
        <v>487</v>
      </c>
      <c r="D201" s="13" t="s">
        <v>488</v>
      </c>
      <c r="E201" s="13" t="s">
        <v>488</v>
      </c>
      <c r="F201" s="13" t="s">
        <v>20</v>
      </c>
      <c r="G201" s="13" t="s">
        <v>339</v>
      </c>
      <c r="H201" s="13" t="s">
        <v>337</v>
      </c>
    </row>
    <row r="202">
      <c r="A202" s="11">
        <v>33.0</v>
      </c>
      <c r="B202" s="13" t="s">
        <v>496</v>
      </c>
      <c r="C202" s="13" t="s">
        <v>487</v>
      </c>
      <c r="D202" s="13" t="s">
        <v>497</v>
      </c>
      <c r="E202" s="13" t="s">
        <v>497</v>
      </c>
      <c r="F202" s="13" t="s">
        <v>20</v>
      </c>
      <c r="G202" s="13" t="s">
        <v>339</v>
      </c>
      <c r="H202" s="13" t="s">
        <v>337</v>
      </c>
    </row>
    <row r="203">
      <c r="A203" s="11">
        <v>34.0</v>
      </c>
      <c r="B203" s="13" t="s">
        <v>498</v>
      </c>
      <c r="C203" s="13" t="s">
        <v>487</v>
      </c>
      <c r="D203" s="13" t="s">
        <v>497</v>
      </c>
      <c r="E203" s="13" t="s">
        <v>497</v>
      </c>
      <c r="F203" s="13" t="s">
        <v>20</v>
      </c>
      <c r="G203" s="13" t="s">
        <v>339</v>
      </c>
      <c r="H203" s="13" t="s">
        <v>337</v>
      </c>
    </row>
    <row r="204">
      <c r="A204" s="11">
        <v>35.0</v>
      </c>
      <c r="B204" s="13" t="s">
        <v>499</v>
      </c>
      <c r="C204" s="13" t="s">
        <v>487</v>
      </c>
      <c r="D204" s="13" t="s">
        <v>497</v>
      </c>
      <c r="E204" s="13" t="s">
        <v>497</v>
      </c>
      <c r="F204" s="13" t="s">
        <v>20</v>
      </c>
      <c r="G204" s="13" t="s">
        <v>339</v>
      </c>
      <c r="H204" s="13" t="s">
        <v>337</v>
      </c>
    </row>
    <row r="205">
      <c r="A205" s="11">
        <v>36.0</v>
      </c>
      <c r="B205" s="13" t="s">
        <v>500</v>
      </c>
      <c r="C205" s="13" t="s">
        <v>487</v>
      </c>
      <c r="D205" s="13" t="s">
        <v>497</v>
      </c>
      <c r="E205" s="13" t="s">
        <v>497</v>
      </c>
      <c r="F205" s="13" t="s">
        <v>20</v>
      </c>
      <c r="G205" s="13" t="s">
        <v>339</v>
      </c>
      <c r="H205" s="13" t="s">
        <v>337</v>
      </c>
    </row>
    <row r="206">
      <c r="A206" s="11">
        <v>37.0</v>
      </c>
      <c r="B206" s="13" t="s">
        <v>501</v>
      </c>
      <c r="C206" s="13" t="s">
        <v>487</v>
      </c>
      <c r="D206" s="13" t="s">
        <v>497</v>
      </c>
      <c r="E206" s="13" t="s">
        <v>497</v>
      </c>
      <c r="F206" s="13" t="s">
        <v>20</v>
      </c>
      <c r="G206" s="13" t="s">
        <v>339</v>
      </c>
      <c r="H206" s="13" t="s">
        <v>337</v>
      </c>
    </row>
    <row r="207">
      <c r="A207" s="11">
        <v>38.0</v>
      </c>
      <c r="B207" s="12" t="s">
        <v>502</v>
      </c>
      <c r="C207" s="13" t="s">
        <v>487</v>
      </c>
      <c r="D207" s="13" t="s">
        <v>497</v>
      </c>
      <c r="E207" s="13" t="s">
        <v>497</v>
      </c>
      <c r="F207" s="13" t="s">
        <v>20</v>
      </c>
      <c r="G207" s="13" t="s">
        <v>339</v>
      </c>
      <c r="H207" s="13" t="s">
        <v>337</v>
      </c>
    </row>
    <row r="208">
      <c r="A208" s="11">
        <v>39.0</v>
      </c>
      <c r="B208" s="12" t="s">
        <v>503</v>
      </c>
      <c r="C208" s="13" t="s">
        <v>487</v>
      </c>
      <c r="D208" s="13" t="s">
        <v>497</v>
      </c>
      <c r="E208" s="13" t="s">
        <v>497</v>
      </c>
      <c r="F208" s="13" t="s">
        <v>20</v>
      </c>
      <c r="G208" s="13" t="s">
        <v>339</v>
      </c>
      <c r="H208" s="13" t="s">
        <v>337</v>
      </c>
    </row>
    <row r="209">
      <c r="A209" s="11">
        <v>40.0</v>
      </c>
      <c r="B209" s="12" t="s">
        <v>504</v>
      </c>
      <c r="C209" s="13" t="s">
        <v>487</v>
      </c>
      <c r="D209" s="13" t="s">
        <v>497</v>
      </c>
      <c r="E209" s="13" t="s">
        <v>497</v>
      </c>
      <c r="F209" s="13" t="s">
        <v>20</v>
      </c>
      <c r="G209" s="13" t="s">
        <v>339</v>
      </c>
      <c r="H209" s="13" t="s">
        <v>337</v>
      </c>
    </row>
    <row r="210">
      <c r="A210" s="11">
        <v>41.0</v>
      </c>
      <c r="B210" s="12" t="s">
        <v>505</v>
      </c>
      <c r="C210" s="13" t="s">
        <v>487</v>
      </c>
      <c r="D210" s="13" t="s">
        <v>488</v>
      </c>
      <c r="E210" s="13" t="s">
        <v>497</v>
      </c>
      <c r="F210" s="13" t="s">
        <v>20</v>
      </c>
      <c r="G210" s="13" t="s">
        <v>339</v>
      </c>
      <c r="H210" s="13" t="s">
        <v>337</v>
      </c>
    </row>
    <row r="211">
      <c r="A211" s="11">
        <v>42.0</v>
      </c>
      <c r="B211" s="12" t="s">
        <v>506</v>
      </c>
      <c r="C211" s="13" t="s">
        <v>487</v>
      </c>
      <c r="D211" s="13" t="s">
        <v>488</v>
      </c>
      <c r="E211" s="13" t="s">
        <v>497</v>
      </c>
      <c r="F211" s="13" t="s">
        <v>20</v>
      </c>
      <c r="G211" s="13" t="s">
        <v>339</v>
      </c>
      <c r="H211" s="13" t="s">
        <v>337</v>
      </c>
    </row>
    <row r="212">
      <c r="A212" s="11">
        <v>43.0</v>
      </c>
      <c r="B212" s="12" t="s">
        <v>507</v>
      </c>
      <c r="C212" s="13" t="s">
        <v>487</v>
      </c>
      <c r="D212" s="13" t="s">
        <v>488</v>
      </c>
      <c r="E212" s="13" t="s">
        <v>497</v>
      </c>
      <c r="F212" s="13" t="s">
        <v>20</v>
      </c>
      <c r="G212" s="13" t="s">
        <v>339</v>
      </c>
      <c r="H212" s="13" t="s">
        <v>337</v>
      </c>
    </row>
    <row r="213">
      <c r="A213" s="11">
        <v>44.0</v>
      </c>
      <c r="B213" s="12" t="s">
        <v>508</v>
      </c>
      <c r="C213" s="13" t="s">
        <v>487</v>
      </c>
      <c r="D213" s="13" t="s">
        <v>488</v>
      </c>
      <c r="E213" s="13" t="s">
        <v>497</v>
      </c>
      <c r="F213" s="13" t="s">
        <v>20</v>
      </c>
      <c r="G213" s="13" t="s">
        <v>339</v>
      </c>
      <c r="H213" s="13" t="s">
        <v>337</v>
      </c>
    </row>
    <row r="214">
      <c r="A214" s="11">
        <v>45.0</v>
      </c>
      <c r="B214" s="12" t="s">
        <v>509</v>
      </c>
      <c r="C214" s="13" t="s">
        <v>487</v>
      </c>
      <c r="D214" s="13" t="s">
        <v>488</v>
      </c>
      <c r="E214" s="13" t="s">
        <v>497</v>
      </c>
      <c r="F214" s="13" t="s">
        <v>20</v>
      </c>
      <c r="G214" s="13" t="s">
        <v>339</v>
      </c>
      <c r="H214" s="13" t="s">
        <v>337</v>
      </c>
    </row>
    <row r="215">
      <c r="A215" s="11">
        <v>46.0</v>
      </c>
      <c r="B215" s="12" t="s">
        <v>510</v>
      </c>
      <c r="C215" s="13" t="s">
        <v>487</v>
      </c>
      <c r="D215" s="13" t="s">
        <v>488</v>
      </c>
      <c r="E215" s="13" t="s">
        <v>497</v>
      </c>
      <c r="F215" s="13" t="s">
        <v>20</v>
      </c>
      <c r="G215" s="13" t="s">
        <v>339</v>
      </c>
      <c r="H215" s="13" t="s">
        <v>337</v>
      </c>
    </row>
    <row r="216">
      <c r="A216" s="11">
        <v>47.0</v>
      </c>
      <c r="B216" s="12" t="s">
        <v>511</v>
      </c>
      <c r="C216" s="13" t="s">
        <v>487</v>
      </c>
      <c r="D216" s="13" t="s">
        <v>488</v>
      </c>
      <c r="E216" s="13" t="s">
        <v>497</v>
      </c>
      <c r="F216" s="13" t="s">
        <v>20</v>
      </c>
      <c r="G216" s="13" t="s">
        <v>339</v>
      </c>
      <c r="H216" s="13" t="s">
        <v>337</v>
      </c>
    </row>
    <row r="217">
      <c r="A217" s="11">
        <v>48.0</v>
      </c>
      <c r="B217" s="12" t="s">
        <v>512</v>
      </c>
      <c r="C217" s="13" t="s">
        <v>487</v>
      </c>
      <c r="D217" s="13" t="s">
        <v>488</v>
      </c>
      <c r="E217" s="13" t="s">
        <v>497</v>
      </c>
      <c r="F217" s="13" t="s">
        <v>20</v>
      </c>
      <c r="G217" s="13" t="s">
        <v>339</v>
      </c>
      <c r="H217" s="13" t="s">
        <v>337</v>
      </c>
    </row>
    <row r="218">
      <c r="A218" s="11">
        <v>49.0</v>
      </c>
      <c r="B218" s="12" t="s">
        <v>513</v>
      </c>
      <c r="C218" s="13" t="s">
        <v>487</v>
      </c>
      <c r="D218" s="13" t="s">
        <v>497</v>
      </c>
      <c r="E218" s="13" t="s">
        <v>497</v>
      </c>
      <c r="F218" s="13" t="s">
        <v>20</v>
      </c>
      <c r="G218" s="13" t="s">
        <v>339</v>
      </c>
      <c r="H218" s="13" t="s">
        <v>337</v>
      </c>
    </row>
    <row r="219">
      <c r="A219" s="11">
        <v>50.0</v>
      </c>
      <c r="B219" s="12" t="s">
        <v>514</v>
      </c>
      <c r="C219" s="13" t="s">
        <v>487</v>
      </c>
      <c r="D219" s="13" t="s">
        <v>497</v>
      </c>
      <c r="E219" s="13" t="s">
        <v>497</v>
      </c>
      <c r="F219" s="13" t="s">
        <v>20</v>
      </c>
      <c r="G219" s="13" t="s">
        <v>339</v>
      </c>
      <c r="H219" s="13" t="s">
        <v>337</v>
      </c>
    </row>
    <row r="220">
      <c r="A220" s="11">
        <v>51.0</v>
      </c>
      <c r="B220" s="12" t="s">
        <v>515</v>
      </c>
      <c r="C220" s="13" t="s">
        <v>487</v>
      </c>
      <c r="D220" s="13" t="s">
        <v>497</v>
      </c>
      <c r="E220" s="13" t="s">
        <v>497</v>
      </c>
      <c r="F220" s="13" t="s">
        <v>20</v>
      </c>
      <c r="G220" s="13" t="s">
        <v>339</v>
      </c>
      <c r="H220" s="13" t="s">
        <v>337</v>
      </c>
    </row>
    <row r="221">
      <c r="A221" s="11">
        <v>52.0</v>
      </c>
      <c r="B221" s="12" t="s">
        <v>516</v>
      </c>
      <c r="C221" s="13" t="s">
        <v>487</v>
      </c>
      <c r="D221" s="13" t="s">
        <v>497</v>
      </c>
      <c r="E221" s="13" t="s">
        <v>497</v>
      </c>
      <c r="F221" s="13" t="s">
        <v>20</v>
      </c>
      <c r="G221" s="13" t="s">
        <v>339</v>
      </c>
      <c r="H221" s="13" t="s">
        <v>337</v>
      </c>
    </row>
    <row r="222">
      <c r="A222" s="11">
        <v>53.0</v>
      </c>
      <c r="B222" s="12" t="s">
        <v>517</v>
      </c>
      <c r="C222" s="13" t="s">
        <v>487</v>
      </c>
      <c r="D222" s="13" t="s">
        <v>497</v>
      </c>
      <c r="E222" s="13" t="s">
        <v>497</v>
      </c>
      <c r="F222" s="13" t="s">
        <v>20</v>
      </c>
      <c r="G222" s="13" t="s">
        <v>339</v>
      </c>
      <c r="H222" s="13" t="s">
        <v>337</v>
      </c>
    </row>
    <row r="223">
      <c r="A223" s="11">
        <v>54.0</v>
      </c>
      <c r="B223" s="12" t="s">
        <v>518</v>
      </c>
      <c r="C223" s="13" t="s">
        <v>487</v>
      </c>
      <c r="D223" s="13" t="s">
        <v>497</v>
      </c>
      <c r="E223" s="13" t="s">
        <v>497</v>
      </c>
      <c r="F223" s="13" t="s">
        <v>20</v>
      </c>
      <c r="G223" s="13" t="s">
        <v>339</v>
      </c>
      <c r="H223" s="13" t="s">
        <v>337</v>
      </c>
    </row>
    <row r="224">
      <c r="A224" s="11">
        <v>55.0</v>
      </c>
      <c r="B224" s="12" t="s">
        <v>519</v>
      </c>
      <c r="C224" s="13" t="s">
        <v>487</v>
      </c>
      <c r="D224" s="13" t="s">
        <v>497</v>
      </c>
      <c r="E224" s="13" t="s">
        <v>497</v>
      </c>
      <c r="F224" s="13" t="s">
        <v>20</v>
      </c>
      <c r="G224" s="13" t="s">
        <v>339</v>
      </c>
      <c r="H224" s="13" t="s">
        <v>337</v>
      </c>
    </row>
    <row r="225">
      <c r="A225" s="11">
        <v>56.0</v>
      </c>
      <c r="B225" s="12" t="s">
        <v>520</v>
      </c>
      <c r="C225" s="13" t="s">
        <v>487</v>
      </c>
      <c r="D225" s="13" t="s">
        <v>497</v>
      </c>
      <c r="E225" s="13" t="s">
        <v>497</v>
      </c>
      <c r="F225" s="13" t="s">
        <v>20</v>
      </c>
      <c r="G225" s="13" t="s">
        <v>339</v>
      </c>
      <c r="H225" s="13" t="s">
        <v>337</v>
      </c>
    </row>
    <row r="226">
      <c r="A226" s="11">
        <v>57.0</v>
      </c>
      <c r="B226" s="12" t="s">
        <v>521</v>
      </c>
      <c r="C226" s="13" t="s">
        <v>487</v>
      </c>
      <c r="D226" s="13" t="s">
        <v>497</v>
      </c>
      <c r="E226" s="13" t="s">
        <v>497</v>
      </c>
      <c r="F226" s="13" t="s">
        <v>26</v>
      </c>
      <c r="G226" s="13" t="s">
        <v>339</v>
      </c>
      <c r="H226" s="13" t="s">
        <v>337</v>
      </c>
    </row>
    <row r="227">
      <c r="A227" s="11">
        <v>58.0</v>
      </c>
      <c r="B227" s="12" t="s">
        <v>522</v>
      </c>
      <c r="C227" s="13" t="s">
        <v>487</v>
      </c>
      <c r="D227" s="13" t="s">
        <v>497</v>
      </c>
      <c r="E227" s="13" t="s">
        <v>497</v>
      </c>
      <c r="F227" s="13" t="s">
        <v>26</v>
      </c>
      <c r="G227" s="13" t="s">
        <v>339</v>
      </c>
      <c r="H227" s="13" t="s">
        <v>337</v>
      </c>
    </row>
    <row r="228">
      <c r="A228" s="11">
        <v>59.0</v>
      </c>
      <c r="B228" s="12" t="s">
        <v>523</v>
      </c>
      <c r="C228" s="13" t="s">
        <v>487</v>
      </c>
      <c r="D228" s="13" t="s">
        <v>497</v>
      </c>
      <c r="E228" s="13" t="s">
        <v>497</v>
      </c>
      <c r="F228" s="13" t="s">
        <v>26</v>
      </c>
      <c r="G228" s="13" t="s">
        <v>339</v>
      </c>
      <c r="H228" s="13" t="s">
        <v>337</v>
      </c>
    </row>
    <row r="229">
      <c r="A229" s="11">
        <v>60.0</v>
      </c>
      <c r="B229" s="12" t="s">
        <v>524</v>
      </c>
      <c r="C229" s="13" t="s">
        <v>487</v>
      </c>
      <c r="D229" s="13" t="s">
        <v>497</v>
      </c>
      <c r="E229" s="13" t="s">
        <v>497</v>
      </c>
      <c r="F229" s="13" t="s">
        <v>26</v>
      </c>
      <c r="G229" s="13" t="s">
        <v>339</v>
      </c>
      <c r="H229" s="13" t="s">
        <v>337</v>
      </c>
    </row>
    <row r="230">
      <c r="A230" s="11">
        <v>61.0</v>
      </c>
      <c r="B230" s="12" t="s">
        <v>525</v>
      </c>
      <c r="C230" s="13" t="s">
        <v>487</v>
      </c>
      <c r="D230" s="13" t="s">
        <v>497</v>
      </c>
      <c r="E230" s="13" t="s">
        <v>497</v>
      </c>
      <c r="F230" s="13" t="s">
        <v>26</v>
      </c>
      <c r="G230" s="13" t="s">
        <v>339</v>
      </c>
      <c r="H230" s="13" t="s">
        <v>337</v>
      </c>
    </row>
    <row r="231">
      <c r="A231" s="11">
        <v>62.0</v>
      </c>
      <c r="B231" s="12" t="s">
        <v>526</v>
      </c>
      <c r="C231" s="13" t="s">
        <v>487</v>
      </c>
      <c r="D231" s="13" t="s">
        <v>497</v>
      </c>
      <c r="E231" s="13" t="s">
        <v>497</v>
      </c>
      <c r="F231" s="13" t="s">
        <v>26</v>
      </c>
      <c r="G231" s="13" t="s">
        <v>339</v>
      </c>
      <c r="H231" s="13" t="s">
        <v>337</v>
      </c>
    </row>
    <row r="232">
      <c r="A232" s="11">
        <v>63.0</v>
      </c>
      <c r="B232" s="12" t="s">
        <v>527</v>
      </c>
      <c r="C232" s="13" t="s">
        <v>487</v>
      </c>
      <c r="D232" s="13" t="s">
        <v>497</v>
      </c>
      <c r="E232" s="13" t="s">
        <v>497</v>
      </c>
      <c r="F232" s="13" t="s">
        <v>26</v>
      </c>
      <c r="G232" s="13" t="s">
        <v>339</v>
      </c>
      <c r="H232" s="13" t="s">
        <v>337</v>
      </c>
    </row>
    <row r="233">
      <c r="A233" s="11">
        <v>64.0</v>
      </c>
      <c r="B233" s="12" t="s">
        <v>528</v>
      </c>
      <c r="C233" s="13" t="s">
        <v>487</v>
      </c>
      <c r="D233" s="13" t="s">
        <v>497</v>
      </c>
      <c r="E233" s="13" t="s">
        <v>497</v>
      </c>
      <c r="F233" s="13" t="s">
        <v>26</v>
      </c>
      <c r="G233" s="13" t="s">
        <v>339</v>
      </c>
      <c r="H233" s="13" t="s">
        <v>337</v>
      </c>
    </row>
    <row r="234">
      <c r="A234" s="11">
        <v>65.0</v>
      </c>
      <c r="B234" s="12" t="s">
        <v>529</v>
      </c>
      <c r="C234" s="13" t="s">
        <v>487</v>
      </c>
      <c r="D234" s="13" t="s">
        <v>488</v>
      </c>
      <c r="E234" s="13" t="s">
        <v>497</v>
      </c>
      <c r="F234" s="13" t="s">
        <v>26</v>
      </c>
      <c r="G234" s="13" t="s">
        <v>339</v>
      </c>
      <c r="H234" s="13" t="s">
        <v>337</v>
      </c>
    </row>
    <row r="235">
      <c r="A235" s="11">
        <v>66.0</v>
      </c>
      <c r="B235" s="12" t="s">
        <v>530</v>
      </c>
      <c r="C235" s="13" t="s">
        <v>487</v>
      </c>
      <c r="D235" s="13" t="s">
        <v>488</v>
      </c>
      <c r="E235" s="13" t="s">
        <v>497</v>
      </c>
      <c r="F235" s="13" t="s">
        <v>26</v>
      </c>
      <c r="G235" s="13" t="s">
        <v>339</v>
      </c>
      <c r="H235" s="13" t="s">
        <v>337</v>
      </c>
    </row>
    <row r="236">
      <c r="A236" s="11">
        <v>67.0</v>
      </c>
      <c r="B236" s="12" t="s">
        <v>531</v>
      </c>
      <c r="C236" s="13" t="s">
        <v>487</v>
      </c>
      <c r="D236" s="13" t="s">
        <v>488</v>
      </c>
      <c r="E236" s="13" t="s">
        <v>497</v>
      </c>
      <c r="F236" s="13" t="s">
        <v>26</v>
      </c>
      <c r="G236" s="13" t="s">
        <v>339</v>
      </c>
      <c r="H236" s="13" t="s">
        <v>337</v>
      </c>
    </row>
    <row r="237">
      <c r="A237" s="11">
        <v>68.0</v>
      </c>
      <c r="B237" s="12" t="s">
        <v>532</v>
      </c>
      <c r="C237" s="13" t="s">
        <v>487</v>
      </c>
      <c r="D237" s="13" t="s">
        <v>488</v>
      </c>
      <c r="E237" s="13" t="s">
        <v>497</v>
      </c>
      <c r="F237" s="13" t="s">
        <v>26</v>
      </c>
      <c r="G237" s="13" t="s">
        <v>339</v>
      </c>
      <c r="H237" s="13" t="s">
        <v>337</v>
      </c>
    </row>
    <row r="238">
      <c r="A238" s="11">
        <v>69.0</v>
      </c>
      <c r="B238" s="12" t="s">
        <v>533</v>
      </c>
      <c r="C238" s="13" t="s">
        <v>487</v>
      </c>
      <c r="D238" s="13" t="s">
        <v>488</v>
      </c>
      <c r="E238" s="13" t="s">
        <v>497</v>
      </c>
      <c r="F238" s="13" t="s">
        <v>26</v>
      </c>
      <c r="G238" s="13" t="s">
        <v>339</v>
      </c>
      <c r="H238" s="13" t="s">
        <v>337</v>
      </c>
    </row>
    <row r="239">
      <c r="A239" s="11">
        <v>70.0</v>
      </c>
      <c r="B239" s="12" t="s">
        <v>534</v>
      </c>
      <c r="C239" s="13" t="s">
        <v>487</v>
      </c>
      <c r="D239" s="13" t="s">
        <v>488</v>
      </c>
      <c r="E239" s="13" t="s">
        <v>497</v>
      </c>
      <c r="F239" s="13" t="s">
        <v>26</v>
      </c>
      <c r="G239" s="13" t="s">
        <v>339</v>
      </c>
      <c r="H239" s="13" t="s">
        <v>337</v>
      </c>
    </row>
    <row r="240">
      <c r="A240" s="11">
        <v>71.0</v>
      </c>
      <c r="B240" s="12" t="s">
        <v>535</v>
      </c>
      <c r="C240" s="13" t="s">
        <v>487</v>
      </c>
      <c r="D240" s="13" t="s">
        <v>488</v>
      </c>
      <c r="E240" s="13" t="s">
        <v>497</v>
      </c>
      <c r="F240" s="13" t="s">
        <v>26</v>
      </c>
      <c r="G240" s="13" t="s">
        <v>339</v>
      </c>
      <c r="H240" s="13" t="s">
        <v>337</v>
      </c>
    </row>
    <row r="241">
      <c r="A241" s="11">
        <v>72.0</v>
      </c>
      <c r="B241" s="12" t="s">
        <v>536</v>
      </c>
      <c r="C241" s="13" t="s">
        <v>487</v>
      </c>
      <c r="D241" s="13" t="s">
        <v>488</v>
      </c>
      <c r="E241" s="13" t="s">
        <v>497</v>
      </c>
      <c r="F241" s="13" t="s">
        <v>26</v>
      </c>
      <c r="G241" s="13" t="s">
        <v>339</v>
      </c>
      <c r="H241" s="13" t="s">
        <v>337</v>
      </c>
    </row>
    <row r="242">
      <c r="A242" s="11">
        <v>25.0</v>
      </c>
      <c r="B242" s="12" t="s">
        <v>486</v>
      </c>
      <c r="C242" s="13" t="s">
        <v>487</v>
      </c>
      <c r="D242" s="13" t="s">
        <v>488</v>
      </c>
      <c r="E242" s="13" t="s">
        <v>488</v>
      </c>
      <c r="F242" s="13" t="s">
        <v>20</v>
      </c>
      <c r="G242" s="13" t="s">
        <v>339</v>
      </c>
      <c r="H242" s="13" t="s">
        <v>337</v>
      </c>
    </row>
    <row r="243">
      <c r="A243" s="11">
        <v>26.0</v>
      </c>
      <c r="B243" s="12" t="s">
        <v>489</v>
      </c>
      <c r="C243" s="13" t="s">
        <v>487</v>
      </c>
      <c r="D243" s="13" t="s">
        <v>488</v>
      </c>
      <c r="E243" s="13" t="s">
        <v>488</v>
      </c>
      <c r="F243" s="13" t="s">
        <v>20</v>
      </c>
      <c r="G243" s="13" t="s">
        <v>339</v>
      </c>
      <c r="H243" s="13" t="s">
        <v>337</v>
      </c>
    </row>
    <row r="244">
      <c r="A244" s="11">
        <v>27.0</v>
      </c>
      <c r="B244" s="12" t="s">
        <v>490</v>
      </c>
      <c r="C244" s="13" t="s">
        <v>487</v>
      </c>
      <c r="D244" s="13" t="s">
        <v>488</v>
      </c>
      <c r="E244" s="13" t="s">
        <v>488</v>
      </c>
      <c r="F244" s="13" t="s">
        <v>20</v>
      </c>
      <c r="G244" s="13" t="s">
        <v>339</v>
      </c>
      <c r="H244" s="13" t="s">
        <v>337</v>
      </c>
    </row>
    <row r="245">
      <c r="A245" s="11">
        <v>28.0</v>
      </c>
      <c r="B245" s="12" t="s">
        <v>491</v>
      </c>
      <c r="C245" s="13" t="s">
        <v>487</v>
      </c>
      <c r="D245" s="13" t="s">
        <v>488</v>
      </c>
      <c r="E245" s="13" t="s">
        <v>488</v>
      </c>
      <c r="F245" s="13" t="s">
        <v>20</v>
      </c>
      <c r="G245" s="13" t="s">
        <v>339</v>
      </c>
      <c r="H245" s="13" t="s">
        <v>337</v>
      </c>
    </row>
    <row r="246">
      <c r="A246" s="11">
        <v>29.0</v>
      </c>
      <c r="B246" s="12" t="s">
        <v>492</v>
      </c>
      <c r="C246" s="13" t="s">
        <v>487</v>
      </c>
      <c r="D246" s="13" t="s">
        <v>488</v>
      </c>
      <c r="E246" s="13" t="s">
        <v>488</v>
      </c>
      <c r="F246" s="13" t="s">
        <v>20</v>
      </c>
      <c r="G246" s="13" t="s">
        <v>339</v>
      </c>
      <c r="H246" s="13" t="s">
        <v>337</v>
      </c>
    </row>
    <row r="247">
      <c r="A247" s="11">
        <v>30.0</v>
      </c>
      <c r="B247" s="12" t="s">
        <v>493</v>
      </c>
      <c r="C247" s="13" t="s">
        <v>487</v>
      </c>
      <c r="D247" s="13" t="s">
        <v>488</v>
      </c>
      <c r="E247" s="13" t="s">
        <v>488</v>
      </c>
      <c r="F247" s="13" t="s">
        <v>20</v>
      </c>
      <c r="G247" s="13" t="s">
        <v>339</v>
      </c>
      <c r="H247" s="13" t="s">
        <v>337</v>
      </c>
    </row>
    <row r="248">
      <c r="A248" s="11">
        <v>31.0</v>
      </c>
      <c r="B248" s="12" t="s">
        <v>494</v>
      </c>
      <c r="C248" s="13" t="s">
        <v>487</v>
      </c>
      <c r="D248" s="13" t="s">
        <v>488</v>
      </c>
      <c r="E248" s="13" t="s">
        <v>488</v>
      </c>
      <c r="F248" s="13" t="s">
        <v>20</v>
      </c>
      <c r="G248" s="13" t="s">
        <v>339</v>
      </c>
      <c r="H248" s="13" t="s">
        <v>337</v>
      </c>
    </row>
    <row r="249">
      <c r="A249" s="11">
        <v>32.0</v>
      </c>
      <c r="B249" s="12" t="s">
        <v>495</v>
      </c>
      <c r="C249" s="13" t="s">
        <v>487</v>
      </c>
      <c r="D249" s="13" t="s">
        <v>488</v>
      </c>
      <c r="E249" s="13" t="s">
        <v>488</v>
      </c>
      <c r="F249" s="13" t="s">
        <v>20</v>
      </c>
      <c r="G249" s="13" t="s">
        <v>339</v>
      </c>
      <c r="H249" s="13" t="s">
        <v>337</v>
      </c>
    </row>
    <row r="250">
      <c r="A250" s="11">
        <v>33.0</v>
      </c>
      <c r="B250" s="13" t="s">
        <v>496</v>
      </c>
      <c r="C250" s="13" t="s">
        <v>487</v>
      </c>
      <c r="D250" s="13" t="s">
        <v>497</v>
      </c>
      <c r="E250" s="13" t="s">
        <v>497</v>
      </c>
      <c r="F250" s="13" t="s">
        <v>20</v>
      </c>
      <c r="G250" s="13" t="s">
        <v>339</v>
      </c>
      <c r="H250" s="13" t="s">
        <v>337</v>
      </c>
    </row>
    <row r="251">
      <c r="A251" s="11">
        <v>34.0</v>
      </c>
      <c r="B251" s="13" t="s">
        <v>498</v>
      </c>
      <c r="C251" s="13" t="s">
        <v>487</v>
      </c>
      <c r="D251" s="13" t="s">
        <v>497</v>
      </c>
      <c r="E251" s="13" t="s">
        <v>497</v>
      </c>
      <c r="F251" s="13" t="s">
        <v>20</v>
      </c>
      <c r="G251" s="13" t="s">
        <v>339</v>
      </c>
      <c r="H251" s="13" t="s">
        <v>337</v>
      </c>
    </row>
    <row r="252">
      <c r="A252" s="11">
        <v>35.0</v>
      </c>
      <c r="B252" s="13" t="s">
        <v>499</v>
      </c>
      <c r="C252" s="13" t="s">
        <v>487</v>
      </c>
      <c r="D252" s="13" t="s">
        <v>497</v>
      </c>
      <c r="E252" s="13" t="s">
        <v>497</v>
      </c>
      <c r="F252" s="13" t="s">
        <v>20</v>
      </c>
      <c r="G252" s="13" t="s">
        <v>339</v>
      </c>
      <c r="H252" s="13" t="s">
        <v>337</v>
      </c>
    </row>
    <row r="253">
      <c r="A253" s="11">
        <v>36.0</v>
      </c>
      <c r="B253" s="13" t="s">
        <v>500</v>
      </c>
      <c r="C253" s="13" t="s">
        <v>487</v>
      </c>
      <c r="D253" s="13" t="s">
        <v>497</v>
      </c>
      <c r="E253" s="13" t="s">
        <v>497</v>
      </c>
      <c r="F253" s="13" t="s">
        <v>20</v>
      </c>
      <c r="G253" s="13" t="s">
        <v>339</v>
      </c>
      <c r="H253" s="13" t="s">
        <v>337</v>
      </c>
    </row>
    <row r="254">
      <c r="A254" s="11">
        <v>37.0</v>
      </c>
      <c r="B254" s="13" t="s">
        <v>501</v>
      </c>
      <c r="C254" s="13" t="s">
        <v>487</v>
      </c>
      <c r="D254" s="13" t="s">
        <v>497</v>
      </c>
      <c r="E254" s="13" t="s">
        <v>497</v>
      </c>
      <c r="F254" s="13" t="s">
        <v>20</v>
      </c>
      <c r="G254" s="13" t="s">
        <v>339</v>
      </c>
      <c r="H254" s="13" t="s">
        <v>337</v>
      </c>
    </row>
    <row r="255">
      <c r="A255" s="11">
        <v>38.0</v>
      </c>
      <c r="B255" s="12" t="s">
        <v>502</v>
      </c>
      <c r="C255" s="13" t="s">
        <v>487</v>
      </c>
      <c r="D255" s="13" t="s">
        <v>497</v>
      </c>
      <c r="E255" s="13" t="s">
        <v>497</v>
      </c>
      <c r="F255" s="13" t="s">
        <v>20</v>
      </c>
      <c r="G255" s="13" t="s">
        <v>339</v>
      </c>
      <c r="H255" s="13" t="s">
        <v>337</v>
      </c>
    </row>
    <row r="256">
      <c r="A256" s="11">
        <v>39.0</v>
      </c>
      <c r="B256" s="12" t="s">
        <v>503</v>
      </c>
      <c r="C256" s="13" t="s">
        <v>487</v>
      </c>
      <c r="D256" s="13" t="s">
        <v>497</v>
      </c>
      <c r="E256" s="13" t="s">
        <v>497</v>
      </c>
      <c r="F256" s="13" t="s">
        <v>20</v>
      </c>
      <c r="G256" s="13" t="s">
        <v>339</v>
      </c>
      <c r="H256" s="13" t="s">
        <v>337</v>
      </c>
    </row>
    <row r="257">
      <c r="A257" s="11">
        <v>40.0</v>
      </c>
      <c r="B257" s="12" t="s">
        <v>504</v>
      </c>
      <c r="C257" s="13" t="s">
        <v>487</v>
      </c>
      <c r="D257" s="13" t="s">
        <v>497</v>
      </c>
      <c r="E257" s="13" t="s">
        <v>497</v>
      </c>
      <c r="F257" s="13" t="s">
        <v>20</v>
      </c>
      <c r="G257" s="13" t="s">
        <v>339</v>
      </c>
      <c r="H257" s="13" t="s">
        <v>337</v>
      </c>
    </row>
    <row r="258">
      <c r="A258" s="11">
        <v>41.0</v>
      </c>
      <c r="B258" s="12" t="s">
        <v>505</v>
      </c>
      <c r="C258" s="13" t="s">
        <v>487</v>
      </c>
      <c r="D258" s="13" t="s">
        <v>488</v>
      </c>
      <c r="E258" s="13" t="s">
        <v>497</v>
      </c>
      <c r="F258" s="13" t="s">
        <v>20</v>
      </c>
      <c r="G258" s="13" t="s">
        <v>339</v>
      </c>
      <c r="H258" s="13" t="s">
        <v>337</v>
      </c>
    </row>
    <row r="259">
      <c r="A259" s="11">
        <v>42.0</v>
      </c>
      <c r="B259" s="12" t="s">
        <v>506</v>
      </c>
      <c r="C259" s="13" t="s">
        <v>487</v>
      </c>
      <c r="D259" s="13" t="s">
        <v>488</v>
      </c>
      <c r="E259" s="13" t="s">
        <v>497</v>
      </c>
      <c r="F259" s="13" t="s">
        <v>20</v>
      </c>
      <c r="G259" s="13" t="s">
        <v>339</v>
      </c>
      <c r="H259" s="13" t="s">
        <v>337</v>
      </c>
    </row>
    <row r="260">
      <c r="A260" s="11">
        <v>43.0</v>
      </c>
      <c r="B260" s="12" t="s">
        <v>507</v>
      </c>
      <c r="C260" s="13" t="s">
        <v>487</v>
      </c>
      <c r="D260" s="13" t="s">
        <v>488</v>
      </c>
      <c r="E260" s="13" t="s">
        <v>497</v>
      </c>
      <c r="F260" s="13" t="s">
        <v>20</v>
      </c>
      <c r="G260" s="13" t="s">
        <v>339</v>
      </c>
      <c r="H260" s="13" t="s">
        <v>337</v>
      </c>
    </row>
    <row r="261">
      <c r="A261" s="11">
        <v>44.0</v>
      </c>
      <c r="B261" s="12" t="s">
        <v>508</v>
      </c>
      <c r="C261" s="13" t="s">
        <v>487</v>
      </c>
      <c r="D261" s="13" t="s">
        <v>488</v>
      </c>
      <c r="E261" s="13" t="s">
        <v>497</v>
      </c>
      <c r="F261" s="13" t="s">
        <v>20</v>
      </c>
      <c r="G261" s="13" t="s">
        <v>339</v>
      </c>
      <c r="H261" s="13" t="s">
        <v>337</v>
      </c>
    </row>
    <row r="262">
      <c r="A262" s="11">
        <v>45.0</v>
      </c>
      <c r="B262" s="12" t="s">
        <v>509</v>
      </c>
      <c r="C262" s="13" t="s">
        <v>487</v>
      </c>
      <c r="D262" s="13" t="s">
        <v>488</v>
      </c>
      <c r="E262" s="13" t="s">
        <v>497</v>
      </c>
      <c r="F262" s="13" t="s">
        <v>20</v>
      </c>
      <c r="G262" s="13" t="s">
        <v>339</v>
      </c>
      <c r="H262" s="13" t="s">
        <v>337</v>
      </c>
    </row>
    <row r="263">
      <c r="A263" s="11">
        <v>46.0</v>
      </c>
      <c r="B263" s="12" t="s">
        <v>510</v>
      </c>
      <c r="C263" s="13" t="s">
        <v>487</v>
      </c>
      <c r="D263" s="13" t="s">
        <v>488</v>
      </c>
      <c r="E263" s="13" t="s">
        <v>497</v>
      </c>
      <c r="F263" s="13" t="s">
        <v>20</v>
      </c>
      <c r="G263" s="13" t="s">
        <v>339</v>
      </c>
      <c r="H263" s="13" t="s">
        <v>337</v>
      </c>
    </row>
    <row r="264">
      <c r="A264" s="11">
        <v>47.0</v>
      </c>
      <c r="B264" s="12" t="s">
        <v>511</v>
      </c>
      <c r="C264" s="13" t="s">
        <v>487</v>
      </c>
      <c r="D264" s="13" t="s">
        <v>488</v>
      </c>
      <c r="E264" s="13" t="s">
        <v>497</v>
      </c>
      <c r="F264" s="13" t="s">
        <v>20</v>
      </c>
      <c r="G264" s="13" t="s">
        <v>339</v>
      </c>
      <c r="H264" s="13" t="s">
        <v>337</v>
      </c>
    </row>
    <row r="265">
      <c r="A265" s="11">
        <v>48.0</v>
      </c>
      <c r="B265" s="12" t="s">
        <v>512</v>
      </c>
      <c r="C265" s="13" t="s">
        <v>487</v>
      </c>
      <c r="D265" s="13" t="s">
        <v>488</v>
      </c>
      <c r="E265" s="13" t="s">
        <v>497</v>
      </c>
      <c r="F265" s="13" t="s">
        <v>20</v>
      </c>
      <c r="G265" s="13" t="s">
        <v>339</v>
      </c>
      <c r="H265" s="13" t="s">
        <v>337</v>
      </c>
    </row>
    <row r="266">
      <c r="A266" s="11">
        <v>49.0</v>
      </c>
      <c r="B266" s="12" t="s">
        <v>513</v>
      </c>
      <c r="C266" s="13" t="s">
        <v>487</v>
      </c>
      <c r="D266" s="13" t="s">
        <v>497</v>
      </c>
      <c r="E266" s="13" t="s">
        <v>497</v>
      </c>
      <c r="F266" s="13" t="s">
        <v>20</v>
      </c>
      <c r="G266" s="13" t="s">
        <v>339</v>
      </c>
      <c r="H266" s="13" t="s">
        <v>337</v>
      </c>
    </row>
    <row r="267">
      <c r="A267" s="11">
        <v>50.0</v>
      </c>
      <c r="B267" s="12" t="s">
        <v>514</v>
      </c>
      <c r="C267" s="13" t="s">
        <v>487</v>
      </c>
      <c r="D267" s="13" t="s">
        <v>497</v>
      </c>
      <c r="E267" s="13" t="s">
        <v>497</v>
      </c>
      <c r="F267" s="13" t="s">
        <v>20</v>
      </c>
      <c r="G267" s="13" t="s">
        <v>339</v>
      </c>
      <c r="H267" s="13" t="s">
        <v>337</v>
      </c>
    </row>
    <row r="268">
      <c r="A268" s="11">
        <v>51.0</v>
      </c>
      <c r="B268" s="12" t="s">
        <v>515</v>
      </c>
      <c r="C268" s="13" t="s">
        <v>487</v>
      </c>
      <c r="D268" s="13" t="s">
        <v>497</v>
      </c>
      <c r="E268" s="13" t="s">
        <v>497</v>
      </c>
      <c r="F268" s="13" t="s">
        <v>20</v>
      </c>
      <c r="G268" s="13" t="s">
        <v>339</v>
      </c>
      <c r="H268" s="13" t="s">
        <v>337</v>
      </c>
    </row>
    <row r="269">
      <c r="A269" s="11">
        <v>52.0</v>
      </c>
      <c r="B269" s="12" t="s">
        <v>516</v>
      </c>
      <c r="C269" s="13" t="s">
        <v>487</v>
      </c>
      <c r="D269" s="13" t="s">
        <v>497</v>
      </c>
      <c r="E269" s="13" t="s">
        <v>497</v>
      </c>
      <c r="F269" s="13" t="s">
        <v>20</v>
      </c>
      <c r="G269" s="13" t="s">
        <v>339</v>
      </c>
      <c r="H269" s="13" t="s">
        <v>337</v>
      </c>
    </row>
    <row r="270">
      <c r="A270" s="11">
        <v>53.0</v>
      </c>
      <c r="B270" s="12" t="s">
        <v>517</v>
      </c>
      <c r="C270" s="13" t="s">
        <v>487</v>
      </c>
      <c r="D270" s="13" t="s">
        <v>497</v>
      </c>
      <c r="E270" s="13" t="s">
        <v>497</v>
      </c>
      <c r="F270" s="13" t="s">
        <v>20</v>
      </c>
      <c r="G270" s="13" t="s">
        <v>339</v>
      </c>
      <c r="H270" s="13" t="s">
        <v>337</v>
      </c>
    </row>
    <row r="271">
      <c r="A271" s="11">
        <v>54.0</v>
      </c>
      <c r="B271" s="12" t="s">
        <v>518</v>
      </c>
      <c r="C271" s="13" t="s">
        <v>487</v>
      </c>
      <c r="D271" s="13" t="s">
        <v>497</v>
      </c>
      <c r="E271" s="13" t="s">
        <v>497</v>
      </c>
      <c r="F271" s="13" t="s">
        <v>20</v>
      </c>
      <c r="G271" s="13" t="s">
        <v>339</v>
      </c>
      <c r="H271" s="13" t="s">
        <v>337</v>
      </c>
    </row>
    <row r="272">
      <c r="A272" s="11">
        <v>55.0</v>
      </c>
      <c r="B272" s="12" t="s">
        <v>519</v>
      </c>
      <c r="C272" s="13" t="s">
        <v>487</v>
      </c>
      <c r="D272" s="13" t="s">
        <v>497</v>
      </c>
      <c r="E272" s="13" t="s">
        <v>497</v>
      </c>
      <c r="F272" s="13" t="s">
        <v>20</v>
      </c>
      <c r="G272" s="13" t="s">
        <v>339</v>
      </c>
      <c r="H272" s="13" t="s">
        <v>337</v>
      </c>
    </row>
    <row r="273">
      <c r="A273" s="11">
        <v>56.0</v>
      </c>
      <c r="B273" s="12" t="s">
        <v>520</v>
      </c>
      <c r="C273" s="13" t="s">
        <v>487</v>
      </c>
      <c r="D273" s="13" t="s">
        <v>497</v>
      </c>
      <c r="E273" s="13" t="s">
        <v>497</v>
      </c>
      <c r="F273" s="13" t="s">
        <v>20</v>
      </c>
      <c r="G273" s="13" t="s">
        <v>339</v>
      </c>
      <c r="H273" s="13" t="s">
        <v>337</v>
      </c>
    </row>
    <row r="274">
      <c r="A274" s="11">
        <v>57.0</v>
      </c>
      <c r="B274" s="12" t="s">
        <v>521</v>
      </c>
      <c r="C274" s="13" t="s">
        <v>487</v>
      </c>
      <c r="D274" s="13" t="s">
        <v>497</v>
      </c>
      <c r="E274" s="13" t="s">
        <v>497</v>
      </c>
      <c r="F274" s="13" t="s">
        <v>26</v>
      </c>
      <c r="G274" s="13" t="s">
        <v>339</v>
      </c>
      <c r="H274" s="13" t="s">
        <v>337</v>
      </c>
    </row>
    <row r="275">
      <c r="A275" s="11">
        <v>58.0</v>
      </c>
      <c r="B275" s="12" t="s">
        <v>522</v>
      </c>
      <c r="C275" s="13" t="s">
        <v>487</v>
      </c>
      <c r="D275" s="13" t="s">
        <v>497</v>
      </c>
      <c r="E275" s="13" t="s">
        <v>497</v>
      </c>
      <c r="F275" s="13" t="s">
        <v>26</v>
      </c>
      <c r="G275" s="13" t="s">
        <v>339</v>
      </c>
      <c r="H275" s="13" t="s">
        <v>337</v>
      </c>
    </row>
    <row r="276">
      <c r="A276" s="11">
        <v>59.0</v>
      </c>
      <c r="B276" s="12" t="s">
        <v>523</v>
      </c>
      <c r="C276" s="13" t="s">
        <v>487</v>
      </c>
      <c r="D276" s="13" t="s">
        <v>497</v>
      </c>
      <c r="E276" s="13" t="s">
        <v>497</v>
      </c>
      <c r="F276" s="13" t="s">
        <v>26</v>
      </c>
      <c r="G276" s="13" t="s">
        <v>339</v>
      </c>
      <c r="H276" s="13" t="s">
        <v>337</v>
      </c>
    </row>
    <row r="277">
      <c r="A277" s="11">
        <v>60.0</v>
      </c>
      <c r="B277" s="12" t="s">
        <v>524</v>
      </c>
      <c r="C277" s="13" t="s">
        <v>487</v>
      </c>
      <c r="D277" s="13" t="s">
        <v>497</v>
      </c>
      <c r="E277" s="13" t="s">
        <v>497</v>
      </c>
      <c r="F277" s="13" t="s">
        <v>26</v>
      </c>
      <c r="G277" s="13" t="s">
        <v>339</v>
      </c>
      <c r="H277" s="13" t="s">
        <v>337</v>
      </c>
    </row>
    <row r="278">
      <c r="A278" s="11">
        <v>61.0</v>
      </c>
      <c r="B278" s="12" t="s">
        <v>525</v>
      </c>
      <c r="C278" s="13" t="s">
        <v>487</v>
      </c>
      <c r="D278" s="13" t="s">
        <v>497</v>
      </c>
      <c r="E278" s="13" t="s">
        <v>497</v>
      </c>
      <c r="F278" s="13" t="s">
        <v>26</v>
      </c>
      <c r="G278" s="13" t="s">
        <v>339</v>
      </c>
      <c r="H278" s="13" t="s">
        <v>337</v>
      </c>
    </row>
    <row r="279">
      <c r="A279" s="11">
        <v>62.0</v>
      </c>
      <c r="B279" s="12" t="s">
        <v>526</v>
      </c>
      <c r="C279" s="13" t="s">
        <v>487</v>
      </c>
      <c r="D279" s="13" t="s">
        <v>497</v>
      </c>
      <c r="E279" s="13" t="s">
        <v>497</v>
      </c>
      <c r="F279" s="13" t="s">
        <v>26</v>
      </c>
      <c r="G279" s="13" t="s">
        <v>339</v>
      </c>
      <c r="H279" s="13" t="s">
        <v>337</v>
      </c>
    </row>
    <row r="280">
      <c r="A280" s="11">
        <v>63.0</v>
      </c>
      <c r="B280" s="12" t="s">
        <v>527</v>
      </c>
      <c r="C280" s="13" t="s">
        <v>487</v>
      </c>
      <c r="D280" s="13" t="s">
        <v>497</v>
      </c>
      <c r="E280" s="13" t="s">
        <v>497</v>
      </c>
      <c r="F280" s="13" t="s">
        <v>26</v>
      </c>
      <c r="G280" s="13" t="s">
        <v>339</v>
      </c>
      <c r="H280" s="13" t="s">
        <v>337</v>
      </c>
    </row>
    <row r="281">
      <c r="A281" s="11">
        <v>64.0</v>
      </c>
      <c r="B281" s="12" t="s">
        <v>528</v>
      </c>
      <c r="C281" s="13" t="s">
        <v>487</v>
      </c>
      <c r="D281" s="13" t="s">
        <v>497</v>
      </c>
      <c r="E281" s="13" t="s">
        <v>497</v>
      </c>
      <c r="F281" s="13" t="s">
        <v>26</v>
      </c>
      <c r="G281" s="13" t="s">
        <v>339</v>
      </c>
      <c r="H281" s="13" t="s">
        <v>337</v>
      </c>
    </row>
    <row r="282">
      <c r="A282" s="11">
        <v>65.0</v>
      </c>
      <c r="B282" s="12" t="s">
        <v>529</v>
      </c>
      <c r="C282" s="13" t="s">
        <v>487</v>
      </c>
      <c r="D282" s="13" t="s">
        <v>488</v>
      </c>
      <c r="E282" s="13" t="s">
        <v>497</v>
      </c>
      <c r="F282" s="13" t="s">
        <v>26</v>
      </c>
      <c r="G282" s="13" t="s">
        <v>339</v>
      </c>
      <c r="H282" s="13" t="s">
        <v>337</v>
      </c>
    </row>
    <row r="283">
      <c r="A283" s="11">
        <v>66.0</v>
      </c>
      <c r="B283" s="12" t="s">
        <v>530</v>
      </c>
      <c r="C283" s="13" t="s">
        <v>487</v>
      </c>
      <c r="D283" s="13" t="s">
        <v>488</v>
      </c>
      <c r="E283" s="13" t="s">
        <v>497</v>
      </c>
      <c r="F283" s="13" t="s">
        <v>26</v>
      </c>
      <c r="G283" s="13" t="s">
        <v>339</v>
      </c>
      <c r="H283" s="13" t="s">
        <v>337</v>
      </c>
    </row>
    <row r="284">
      <c r="A284" s="11">
        <v>67.0</v>
      </c>
      <c r="B284" s="12" t="s">
        <v>531</v>
      </c>
      <c r="C284" s="13" t="s">
        <v>487</v>
      </c>
      <c r="D284" s="13" t="s">
        <v>488</v>
      </c>
      <c r="E284" s="13" t="s">
        <v>497</v>
      </c>
      <c r="F284" s="13" t="s">
        <v>26</v>
      </c>
      <c r="G284" s="13" t="s">
        <v>339</v>
      </c>
      <c r="H284" s="13" t="s">
        <v>337</v>
      </c>
    </row>
    <row r="285">
      <c r="A285" s="11">
        <v>68.0</v>
      </c>
      <c r="B285" s="12" t="s">
        <v>532</v>
      </c>
      <c r="C285" s="13" t="s">
        <v>487</v>
      </c>
      <c r="D285" s="13" t="s">
        <v>488</v>
      </c>
      <c r="E285" s="13" t="s">
        <v>497</v>
      </c>
      <c r="F285" s="13" t="s">
        <v>26</v>
      </c>
      <c r="G285" s="13" t="s">
        <v>339</v>
      </c>
      <c r="H285" s="13" t="s">
        <v>337</v>
      </c>
    </row>
    <row r="286">
      <c r="A286" s="11">
        <v>69.0</v>
      </c>
      <c r="B286" s="12" t="s">
        <v>533</v>
      </c>
      <c r="C286" s="13" t="s">
        <v>487</v>
      </c>
      <c r="D286" s="13" t="s">
        <v>488</v>
      </c>
      <c r="E286" s="13" t="s">
        <v>497</v>
      </c>
      <c r="F286" s="13" t="s">
        <v>26</v>
      </c>
      <c r="G286" s="13" t="s">
        <v>339</v>
      </c>
      <c r="H286" s="13" t="s">
        <v>337</v>
      </c>
    </row>
    <row r="287">
      <c r="A287" s="11">
        <v>70.0</v>
      </c>
      <c r="B287" s="12" t="s">
        <v>534</v>
      </c>
      <c r="C287" s="13" t="s">
        <v>487</v>
      </c>
      <c r="D287" s="13" t="s">
        <v>488</v>
      </c>
      <c r="E287" s="13" t="s">
        <v>497</v>
      </c>
      <c r="F287" s="13" t="s">
        <v>26</v>
      </c>
      <c r="G287" s="13" t="s">
        <v>339</v>
      </c>
      <c r="H287" s="13" t="s">
        <v>337</v>
      </c>
    </row>
    <row r="288">
      <c r="A288" s="11">
        <v>71.0</v>
      </c>
      <c r="B288" s="12" t="s">
        <v>535</v>
      </c>
      <c r="C288" s="13" t="s">
        <v>487</v>
      </c>
      <c r="D288" s="13" t="s">
        <v>488</v>
      </c>
      <c r="E288" s="13" t="s">
        <v>497</v>
      </c>
      <c r="F288" s="13" t="s">
        <v>26</v>
      </c>
      <c r="G288" s="13" t="s">
        <v>339</v>
      </c>
      <c r="H288" s="13" t="s">
        <v>337</v>
      </c>
    </row>
    <row r="289">
      <c r="A289" s="11">
        <v>72.0</v>
      </c>
      <c r="B289" s="12" t="s">
        <v>536</v>
      </c>
      <c r="C289" s="13" t="s">
        <v>487</v>
      </c>
      <c r="D289" s="13" t="s">
        <v>488</v>
      </c>
      <c r="E289" s="13" t="s">
        <v>497</v>
      </c>
      <c r="F289" s="13" t="s">
        <v>26</v>
      </c>
      <c r="G289" s="13" t="s">
        <v>339</v>
      </c>
      <c r="H289" s="13" t="s">
        <v>337</v>
      </c>
    </row>
    <row r="290">
      <c r="A290" s="11">
        <v>25.0</v>
      </c>
      <c r="B290" s="12" t="s">
        <v>486</v>
      </c>
      <c r="C290" s="13" t="s">
        <v>487</v>
      </c>
      <c r="D290" s="13" t="s">
        <v>488</v>
      </c>
      <c r="E290" s="13" t="s">
        <v>488</v>
      </c>
      <c r="F290" s="13" t="s">
        <v>20</v>
      </c>
      <c r="G290" s="13" t="s">
        <v>339</v>
      </c>
      <c r="H290" s="13" t="s">
        <v>337</v>
      </c>
    </row>
    <row r="291">
      <c r="A291" s="11">
        <v>26.0</v>
      </c>
      <c r="B291" s="12" t="s">
        <v>489</v>
      </c>
      <c r="C291" s="13" t="s">
        <v>487</v>
      </c>
      <c r="D291" s="13" t="s">
        <v>488</v>
      </c>
      <c r="E291" s="13" t="s">
        <v>488</v>
      </c>
      <c r="F291" s="13" t="s">
        <v>20</v>
      </c>
      <c r="G291" s="13" t="s">
        <v>339</v>
      </c>
      <c r="H291" s="13" t="s">
        <v>337</v>
      </c>
    </row>
    <row r="292">
      <c r="A292" s="11">
        <v>27.0</v>
      </c>
      <c r="B292" s="12" t="s">
        <v>490</v>
      </c>
      <c r="C292" s="13" t="s">
        <v>487</v>
      </c>
      <c r="D292" s="13" t="s">
        <v>488</v>
      </c>
      <c r="E292" s="13" t="s">
        <v>488</v>
      </c>
      <c r="F292" s="13" t="s">
        <v>20</v>
      </c>
      <c r="G292" s="13" t="s">
        <v>339</v>
      </c>
      <c r="H292" s="13" t="s">
        <v>337</v>
      </c>
    </row>
    <row r="293">
      <c r="A293" s="11">
        <v>28.0</v>
      </c>
      <c r="B293" s="12" t="s">
        <v>491</v>
      </c>
      <c r="C293" s="13" t="s">
        <v>487</v>
      </c>
      <c r="D293" s="13" t="s">
        <v>488</v>
      </c>
      <c r="E293" s="13" t="s">
        <v>488</v>
      </c>
      <c r="F293" s="13" t="s">
        <v>20</v>
      </c>
      <c r="G293" s="13" t="s">
        <v>339</v>
      </c>
      <c r="H293" s="13" t="s">
        <v>337</v>
      </c>
    </row>
    <row r="294">
      <c r="A294" s="11">
        <v>29.0</v>
      </c>
      <c r="B294" s="12" t="s">
        <v>492</v>
      </c>
      <c r="C294" s="13" t="s">
        <v>487</v>
      </c>
      <c r="D294" s="13" t="s">
        <v>488</v>
      </c>
      <c r="E294" s="13" t="s">
        <v>488</v>
      </c>
      <c r="F294" s="13" t="s">
        <v>20</v>
      </c>
      <c r="G294" s="13" t="s">
        <v>339</v>
      </c>
      <c r="H294" s="13" t="s">
        <v>337</v>
      </c>
    </row>
    <row r="295">
      <c r="A295" s="11">
        <v>30.0</v>
      </c>
      <c r="B295" s="12" t="s">
        <v>493</v>
      </c>
      <c r="C295" s="13" t="s">
        <v>487</v>
      </c>
      <c r="D295" s="13" t="s">
        <v>488</v>
      </c>
      <c r="E295" s="13" t="s">
        <v>488</v>
      </c>
      <c r="F295" s="13" t="s">
        <v>20</v>
      </c>
      <c r="G295" s="13" t="s">
        <v>339</v>
      </c>
      <c r="H295" s="13" t="s">
        <v>337</v>
      </c>
    </row>
    <row r="296">
      <c r="A296" s="11">
        <v>31.0</v>
      </c>
      <c r="B296" s="12" t="s">
        <v>494</v>
      </c>
      <c r="C296" s="13" t="s">
        <v>487</v>
      </c>
      <c r="D296" s="13" t="s">
        <v>488</v>
      </c>
      <c r="E296" s="13" t="s">
        <v>488</v>
      </c>
      <c r="F296" s="13" t="s">
        <v>20</v>
      </c>
      <c r="G296" s="13" t="s">
        <v>339</v>
      </c>
      <c r="H296" s="13" t="s">
        <v>337</v>
      </c>
    </row>
    <row r="297">
      <c r="A297" s="11">
        <v>32.0</v>
      </c>
      <c r="B297" s="12" t="s">
        <v>495</v>
      </c>
      <c r="C297" s="13" t="s">
        <v>487</v>
      </c>
      <c r="D297" s="13" t="s">
        <v>488</v>
      </c>
      <c r="E297" s="13" t="s">
        <v>488</v>
      </c>
      <c r="F297" s="13" t="s">
        <v>20</v>
      </c>
      <c r="G297" s="13" t="s">
        <v>339</v>
      </c>
      <c r="H297" s="13" t="s">
        <v>337</v>
      </c>
    </row>
    <row r="298">
      <c r="A298" s="11">
        <v>33.0</v>
      </c>
      <c r="B298" s="13" t="s">
        <v>496</v>
      </c>
      <c r="C298" s="13" t="s">
        <v>487</v>
      </c>
      <c r="D298" s="13" t="s">
        <v>497</v>
      </c>
      <c r="E298" s="13" t="s">
        <v>497</v>
      </c>
      <c r="F298" s="13" t="s">
        <v>20</v>
      </c>
      <c r="G298" s="13" t="s">
        <v>339</v>
      </c>
      <c r="H298" s="13" t="s">
        <v>337</v>
      </c>
    </row>
    <row r="299">
      <c r="A299" s="11">
        <v>34.0</v>
      </c>
      <c r="B299" s="13" t="s">
        <v>498</v>
      </c>
      <c r="C299" s="13" t="s">
        <v>487</v>
      </c>
      <c r="D299" s="13" t="s">
        <v>497</v>
      </c>
      <c r="E299" s="13" t="s">
        <v>497</v>
      </c>
      <c r="F299" s="13" t="s">
        <v>20</v>
      </c>
      <c r="G299" s="13" t="s">
        <v>339</v>
      </c>
      <c r="H299" s="13" t="s">
        <v>337</v>
      </c>
    </row>
    <row r="300">
      <c r="A300" s="11">
        <v>35.0</v>
      </c>
      <c r="B300" s="13" t="s">
        <v>499</v>
      </c>
      <c r="C300" s="13" t="s">
        <v>487</v>
      </c>
      <c r="D300" s="13" t="s">
        <v>497</v>
      </c>
      <c r="E300" s="13" t="s">
        <v>497</v>
      </c>
      <c r="F300" s="13" t="s">
        <v>20</v>
      </c>
      <c r="G300" s="13" t="s">
        <v>339</v>
      </c>
      <c r="H300" s="13" t="s">
        <v>337</v>
      </c>
    </row>
    <row r="301">
      <c r="A301" s="11">
        <v>36.0</v>
      </c>
      <c r="B301" s="13" t="s">
        <v>500</v>
      </c>
      <c r="C301" s="13" t="s">
        <v>487</v>
      </c>
      <c r="D301" s="13" t="s">
        <v>497</v>
      </c>
      <c r="E301" s="13" t="s">
        <v>497</v>
      </c>
      <c r="F301" s="13" t="s">
        <v>20</v>
      </c>
      <c r="G301" s="13" t="s">
        <v>339</v>
      </c>
      <c r="H301" s="13" t="s">
        <v>337</v>
      </c>
    </row>
    <row r="302">
      <c r="A302" s="11">
        <v>37.0</v>
      </c>
      <c r="B302" s="13" t="s">
        <v>501</v>
      </c>
      <c r="C302" s="13" t="s">
        <v>487</v>
      </c>
      <c r="D302" s="13" t="s">
        <v>497</v>
      </c>
      <c r="E302" s="13" t="s">
        <v>497</v>
      </c>
      <c r="F302" s="13" t="s">
        <v>20</v>
      </c>
      <c r="G302" s="13" t="s">
        <v>339</v>
      </c>
      <c r="H302" s="13" t="s">
        <v>337</v>
      </c>
    </row>
    <row r="303">
      <c r="A303" s="11">
        <v>38.0</v>
      </c>
      <c r="B303" s="12" t="s">
        <v>502</v>
      </c>
      <c r="C303" s="13" t="s">
        <v>487</v>
      </c>
      <c r="D303" s="13" t="s">
        <v>497</v>
      </c>
      <c r="E303" s="13" t="s">
        <v>497</v>
      </c>
      <c r="F303" s="13" t="s">
        <v>20</v>
      </c>
      <c r="G303" s="13" t="s">
        <v>339</v>
      </c>
      <c r="H303" s="13" t="s">
        <v>337</v>
      </c>
    </row>
    <row r="304">
      <c r="A304" s="11">
        <v>39.0</v>
      </c>
      <c r="B304" s="12" t="s">
        <v>503</v>
      </c>
      <c r="C304" s="13" t="s">
        <v>487</v>
      </c>
      <c r="D304" s="13" t="s">
        <v>497</v>
      </c>
      <c r="E304" s="13" t="s">
        <v>497</v>
      </c>
      <c r="F304" s="13" t="s">
        <v>20</v>
      </c>
      <c r="G304" s="13" t="s">
        <v>339</v>
      </c>
      <c r="H304" s="13" t="s">
        <v>337</v>
      </c>
    </row>
    <row r="305">
      <c r="A305" s="11">
        <v>40.0</v>
      </c>
      <c r="B305" s="12" t="s">
        <v>504</v>
      </c>
      <c r="C305" s="13" t="s">
        <v>487</v>
      </c>
      <c r="D305" s="13" t="s">
        <v>497</v>
      </c>
      <c r="E305" s="13" t="s">
        <v>497</v>
      </c>
      <c r="F305" s="13" t="s">
        <v>20</v>
      </c>
      <c r="G305" s="13" t="s">
        <v>339</v>
      </c>
      <c r="H305" s="13" t="s">
        <v>337</v>
      </c>
    </row>
    <row r="306">
      <c r="A306" s="11">
        <v>41.0</v>
      </c>
      <c r="B306" s="12" t="s">
        <v>505</v>
      </c>
      <c r="C306" s="13" t="s">
        <v>487</v>
      </c>
      <c r="D306" s="13" t="s">
        <v>488</v>
      </c>
      <c r="E306" s="13" t="s">
        <v>497</v>
      </c>
      <c r="F306" s="13" t="s">
        <v>20</v>
      </c>
      <c r="G306" s="13" t="s">
        <v>339</v>
      </c>
      <c r="H306" s="13" t="s">
        <v>337</v>
      </c>
    </row>
    <row r="307">
      <c r="A307" s="11">
        <v>42.0</v>
      </c>
      <c r="B307" s="12" t="s">
        <v>506</v>
      </c>
      <c r="C307" s="13" t="s">
        <v>487</v>
      </c>
      <c r="D307" s="13" t="s">
        <v>488</v>
      </c>
      <c r="E307" s="13" t="s">
        <v>497</v>
      </c>
      <c r="F307" s="13" t="s">
        <v>20</v>
      </c>
      <c r="G307" s="13" t="s">
        <v>339</v>
      </c>
      <c r="H307" s="13" t="s">
        <v>337</v>
      </c>
    </row>
    <row r="308">
      <c r="A308" s="11">
        <v>43.0</v>
      </c>
      <c r="B308" s="12" t="s">
        <v>507</v>
      </c>
      <c r="C308" s="13" t="s">
        <v>487</v>
      </c>
      <c r="D308" s="13" t="s">
        <v>488</v>
      </c>
      <c r="E308" s="13" t="s">
        <v>497</v>
      </c>
      <c r="F308" s="13" t="s">
        <v>20</v>
      </c>
      <c r="G308" s="13" t="s">
        <v>339</v>
      </c>
      <c r="H308" s="13" t="s">
        <v>337</v>
      </c>
    </row>
    <row r="309">
      <c r="A309" s="11">
        <v>44.0</v>
      </c>
      <c r="B309" s="12" t="s">
        <v>508</v>
      </c>
      <c r="C309" s="13" t="s">
        <v>487</v>
      </c>
      <c r="D309" s="13" t="s">
        <v>488</v>
      </c>
      <c r="E309" s="13" t="s">
        <v>497</v>
      </c>
      <c r="F309" s="13" t="s">
        <v>20</v>
      </c>
      <c r="G309" s="13" t="s">
        <v>339</v>
      </c>
      <c r="H309" s="13" t="s">
        <v>337</v>
      </c>
    </row>
    <row r="310">
      <c r="A310" s="11">
        <v>45.0</v>
      </c>
      <c r="B310" s="12" t="s">
        <v>509</v>
      </c>
      <c r="C310" s="13" t="s">
        <v>487</v>
      </c>
      <c r="D310" s="13" t="s">
        <v>488</v>
      </c>
      <c r="E310" s="13" t="s">
        <v>497</v>
      </c>
      <c r="F310" s="13" t="s">
        <v>20</v>
      </c>
      <c r="G310" s="13" t="s">
        <v>339</v>
      </c>
      <c r="H310" s="13" t="s">
        <v>337</v>
      </c>
    </row>
    <row r="311">
      <c r="A311" s="11">
        <v>46.0</v>
      </c>
      <c r="B311" s="12" t="s">
        <v>510</v>
      </c>
      <c r="C311" s="13" t="s">
        <v>487</v>
      </c>
      <c r="D311" s="13" t="s">
        <v>488</v>
      </c>
      <c r="E311" s="13" t="s">
        <v>497</v>
      </c>
      <c r="F311" s="13" t="s">
        <v>20</v>
      </c>
      <c r="G311" s="13" t="s">
        <v>339</v>
      </c>
      <c r="H311" s="13" t="s">
        <v>337</v>
      </c>
    </row>
    <row r="312">
      <c r="A312" s="11">
        <v>47.0</v>
      </c>
      <c r="B312" s="12" t="s">
        <v>511</v>
      </c>
      <c r="C312" s="13" t="s">
        <v>487</v>
      </c>
      <c r="D312" s="13" t="s">
        <v>488</v>
      </c>
      <c r="E312" s="13" t="s">
        <v>497</v>
      </c>
      <c r="F312" s="13" t="s">
        <v>20</v>
      </c>
      <c r="G312" s="13" t="s">
        <v>339</v>
      </c>
      <c r="H312" s="13" t="s">
        <v>337</v>
      </c>
    </row>
    <row r="313">
      <c r="A313" s="11">
        <v>48.0</v>
      </c>
      <c r="B313" s="12" t="s">
        <v>512</v>
      </c>
      <c r="C313" s="13" t="s">
        <v>487</v>
      </c>
      <c r="D313" s="13" t="s">
        <v>488</v>
      </c>
      <c r="E313" s="13" t="s">
        <v>497</v>
      </c>
      <c r="F313" s="13" t="s">
        <v>20</v>
      </c>
      <c r="G313" s="13" t="s">
        <v>339</v>
      </c>
      <c r="H313" s="13" t="s">
        <v>337</v>
      </c>
    </row>
    <row r="314">
      <c r="A314" s="11">
        <v>49.0</v>
      </c>
      <c r="B314" s="12" t="s">
        <v>513</v>
      </c>
      <c r="C314" s="13" t="s">
        <v>487</v>
      </c>
      <c r="D314" s="13" t="s">
        <v>497</v>
      </c>
      <c r="E314" s="13" t="s">
        <v>497</v>
      </c>
      <c r="F314" s="13" t="s">
        <v>20</v>
      </c>
      <c r="G314" s="13" t="s">
        <v>339</v>
      </c>
      <c r="H314" s="13" t="s">
        <v>337</v>
      </c>
    </row>
    <row r="315">
      <c r="A315" s="11">
        <v>50.0</v>
      </c>
      <c r="B315" s="12" t="s">
        <v>514</v>
      </c>
      <c r="C315" s="13" t="s">
        <v>487</v>
      </c>
      <c r="D315" s="13" t="s">
        <v>497</v>
      </c>
      <c r="E315" s="13" t="s">
        <v>497</v>
      </c>
      <c r="F315" s="13" t="s">
        <v>20</v>
      </c>
      <c r="G315" s="13" t="s">
        <v>339</v>
      </c>
      <c r="H315" s="13" t="s">
        <v>337</v>
      </c>
    </row>
    <row r="316">
      <c r="A316" s="11">
        <v>51.0</v>
      </c>
      <c r="B316" s="12" t="s">
        <v>515</v>
      </c>
      <c r="C316" s="13" t="s">
        <v>487</v>
      </c>
      <c r="D316" s="13" t="s">
        <v>497</v>
      </c>
      <c r="E316" s="13" t="s">
        <v>497</v>
      </c>
      <c r="F316" s="13" t="s">
        <v>20</v>
      </c>
      <c r="G316" s="13" t="s">
        <v>339</v>
      </c>
      <c r="H316" s="13" t="s">
        <v>337</v>
      </c>
    </row>
    <row r="317">
      <c r="A317" s="11">
        <v>52.0</v>
      </c>
      <c r="B317" s="12" t="s">
        <v>516</v>
      </c>
      <c r="C317" s="13" t="s">
        <v>487</v>
      </c>
      <c r="D317" s="13" t="s">
        <v>497</v>
      </c>
      <c r="E317" s="13" t="s">
        <v>497</v>
      </c>
      <c r="F317" s="13" t="s">
        <v>20</v>
      </c>
      <c r="G317" s="13" t="s">
        <v>339</v>
      </c>
      <c r="H317" s="13" t="s">
        <v>337</v>
      </c>
    </row>
    <row r="318">
      <c r="A318" s="11">
        <v>53.0</v>
      </c>
      <c r="B318" s="12" t="s">
        <v>517</v>
      </c>
      <c r="C318" s="13" t="s">
        <v>487</v>
      </c>
      <c r="D318" s="13" t="s">
        <v>497</v>
      </c>
      <c r="E318" s="13" t="s">
        <v>497</v>
      </c>
      <c r="F318" s="13" t="s">
        <v>20</v>
      </c>
      <c r="G318" s="13" t="s">
        <v>339</v>
      </c>
      <c r="H318" s="13" t="s">
        <v>337</v>
      </c>
    </row>
    <row r="319">
      <c r="A319" s="11">
        <v>54.0</v>
      </c>
      <c r="B319" s="12" t="s">
        <v>518</v>
      </c>
      <c r="C319" s="13" t="s">
        <v>487</v>
      </c>
      <c r="D319" s="13" t="s">
        <v>497</v>
      </c>
      <c r="E319" s="13" t="s">
        <v>497</v>
      </c>
      <c r="F319" s="13" t="s">
        <v>20</v>
      </c>
      <c r="G319" s="13" t="s">
        <v>339</v>
      </c>
      <c r="H319" s="13" t="s">
        <v>337</v>
      </c>
    </row>
    <row r="320">
      <c r="A320" s="11">
        <v>55.0</v>
      </c>
      <c r="B320" s="12" t="s">
        <v>519</v>
      </c>
      <c r="C320" s="13" t="s">
        <v>487</v>
      </c>
      <c r="D320" s="13" t="s">
        <v>497</v>
      </c>
      <c r="E320" s="13" t="s">
        <v>497</v>
      </c>
      <c r="F320" s="13" t="s">
        <v>20</v>
      </c>
      <c r="G320" s="13" t="s">
        <v>339</v>
      </c>
      <c r="H320" s="13" t="s">
        <v>337</v>
      </c>
    </row>
    <row r="321">
      <c r="A321" s="11">
        <v>56.0</v>
      </c>
      <c r="B321" s="12" t="s">
        <v>520</v>
      </c>
      <c r="C321" s="13" t="s">
        <v>487</v>
      </c>
      <c r="D321" s="13" t="s">
        <v>497</v>
      </c>
      <c r="E321" s="13" t="s">
        <v>497</v>
      </c>
      <c r="F321" s="13" t="s">
        <v>20</v>
      </c>
      <c r="G321" s="13" t="s">
        <v>339</v>
      </c>
      <c r="H321" s="13" t="s">
        <v>337</v>
      </c>
    </row>
    <row r="322">
      <c r="A322" s="11">
        <v>57.0</v>
      </c>
      <c r="B322" s="12" t="s">
        <v>521</v>
      </c>
      <c r="C322" s="13" t="s">
        <v>487</v>
      </c>
      <c r="D322" s="13" t="s">
        <v>497</v>
      </c>
      <c r="E322" s="13" t="s">
        <v>497</v>
      </c>
      <c r="F322" s="13" t="s">
        <v>26</v>
      </c>
      <c r="G322" s="13" t="s">
        <v>339</v>
      </c>
      <c r="H322" s="13" t="s">
        <v>337</v>
      </c>
    </row>
    <row r="323">
      <c r="A323" s="11">
        <v>58.0</v>
      </c>
      <c r="B323" s="12" t="s">
        <v>522</v>
      </c>
      <c r="C323" s="13" t="s">
        <v>487</v>
      </c>
      <c r="D323" s="13" t="s">
        <v>497</v>
      </c>
      <c r="E323" s="13" t="s">
        <v>497</v>
      </c>
      <c r="F323" s="13" t="s">
        <v>26</v>
      </c>
      <c r="G323" s="13" t="s">
        <v>339</v>
      </c>
      <c r="H323" s="13" t="s">
        <v>337</v>
      </c>
    </row>
    <row r="324">
      <c r="A324" s="11">
        <v>59.0</v>
      </c>
      <c r="B324" s="12" t="s">
        <v>523</v>
      </c>
      <c r="C324" s="13" t="s">
        <v>487</v>
      </c>
      <c r="D324" s="13" t="s">
        <v>497</v>
      </c>
      <c r="E324" s="13" t="s">
        <v>497</v>
      </c>
      <c r="F324" s="13" t="s">
        <v>26</v>
      </c>
      <c r="G324" s="13" t="s">
        <v>339</v>
      </c>
      <c r="H324" s="13" t="s">
        <v>337</v>
      </c>
    </row>
    <row r="325">
      <c r="A325" s="11">
        <v>60.0</v>
      </c>
      <c r="B325" s="12" t="s">
        <v>524</v>
      </c>
      <c r="C325" s="13" t="s">
        <v>487</v>
      </c>
      <c r="D325" s="13" t="s">
        <v>497</v>
      </c>
      <c r="E325" s="13" t="s">
        <v>497</v>
      </c>
      <c r="F325" s="13" t="s">
        <v>26</v>
      </c>
      <c r="G325" s="13" t="s">
        <v>339</v>
      </c>
      <c r="H325" s="13" t="s">
        <v>337</v>
      </c>
    </row>
    <row r="326">
      <c r="A326" s="11">
        <v>61.0</v>
      </c>
      <c r="B326" s="12" t="s">
        <v>525</v>
      </c>
      <c r="C326" s="13" t="s">
        <v>487</v>
      </c>
      <c r="D326" s="13" t="s">
        <v>497</v>
      </c>
      <c r="E326" s="13" t="s">
        <v>497</v>
      </c>
      <c r="F326" s="13" t="s">
        <v>26</v>
      </c>
      <c r="G326" s="13" t="s">
        <v>339</v>
      </c>
      <c r="H326" s="13" t="s">
        <v>337</v>
      </c>
    </row>
    <row r="327">
      <c r="A327" s="11">
        <v>62.0</v>
      </c>
      <c r="B327" s="12" t="s">
        <v>526</v>
      </c>
      <c r="C327" s="13" t="s">
        <v>487</v>
      </c>
      <c r="D327" s="13" t="s">
        <v>497</v>
      </c>
      <c r="E327" s="13" t="s">
        <v>497</v>
      </c>
      <c r="F327" s="13" t="s">
        <v>26</v>
      </c>
      <c r="G327" s="13" t="s">
        <v>339</v>
      </c>
      <c r="H327" s="13" t="s">
        <v>337</v>
      </c>
    </row>
    <row r="328">
      <c r="A328" s="11">
        <v>63.0</v>
      </c>
      <c r="B328" s="12" t="s">
        <v>527</v>
      </c>
      <c r="C328" s="13" t="s">
        <v>487</v>
      </c>
      <c r="D328" s="13" t="s">
        <v>497</v>
      </c>
      <c r="E328" s="13" t="s">
        <v>497</v>
      </c>
      <c r="F328" s="13" t="s">
        <v>26</v>
      </c>
      <c r="G328" s="13" t="s">
        <v>339</v>
      </c>
      <c r="H328" s="13" t="s">
        <v>337</v>
      </c>
    </row>
    <row r="329">
      <c r="A329" s="11">
        <v>64.0</v>
      </c>
      <c r="B329" s="12" t="s">
        <v>528</v>
      </c>
      <c r="C329" s="13" t="s">
        <v>487</v>
      </c>
      <c r="D329" s="13" t="s">
        <v>497</v>
      </c>
      <c r="E329" s="13" t="s">
        <v>497</v>
      </c>
      <c r="F329" s="13" t="s">
        <v>26</v>
      </c>
      <c r="G329" s="13" t="s">
        <v>339</v>
      </c>
      <c r="H329" s="13" t="s">
        <v>337</v>
      </c>
    </row>
    <row r="330">
      <c r="A330" s="11">
        <v>65.0</v>
      </c>
      <c r="B330" s="12" t="s">
        <v>529</v>
      </c>
      <c r="C330" s="13" t="s">
        <v>487</v>
      </c>
      <c r="D330" s="13" t="s">
        <v>488</v>
      </c>
      <c r="E330" s="13" t="s">
        <v>497</v>
      </c>
      <c r="F330" s="13" t="s">
        <v>26</v>
      </c>
      <c r="G330" s="13" t="s">
        <v>339</v>
      </c>
      <c r="H330" s="13" t="s">
        <v>337</v>
      </c>
    </row>
    <row r="331">
      <c r="A331" s="11">
        <v>66.0</v>
      </c>
      <c r="B331" s="12" t="s">
        <v>530</v>
      </c>
      <c r="C331" s="13" t="s">
        <v>487</v>
      </c>
      <c r="D331" s="13" t="s">
        <v>488</v>
      </c>
      <c r="E331" s="13" t="s">
        <v>497</v>
      </c>
      <c r="F331" s="13" t="s">
        <v>26</v>
      </c>
      <c r="G331" s="13" t="s">
        <v>339</v>
      </c>
      <c r="H331" s="13" t="s">
        <v>337</v>
      </c>
    </row>
    <row r="332">
      <c r="A332" s="11">
        <v>67.0</v>
      </c>
      <c r="B332" s="12" t="s">
        <v>531</v>
      </c>
      <c r="C332" s="13" t="s">
        <v>487</v>
      </c>
      <c r="D332" s="13" t="s">
        <v>488</v>
      </c>
      <c r="E332" s="13" t="s">
        <v>497</v>
      </c>
      <c r="F332" s="13" t="s">
        <v>26</v>
      </c>
      <c r="G332" s="13" t="s">
        <v>339</v>
      </c>
      <c r="H332" s="13" t="s">
        <v>337</v>
      </c>
    </row>
    <row r="333">
      <c r="A333" s="11">
        <v>68.0</v>
      </c>
      <c r="B333" s="12" t="s">
        <v>532</v>
      </c>
      <c r="C333" s="13" t="s">
        <v>487</v>
      </c>
      <c r="D333" s="13" t="s">
        <v>488</v>
      </c>
      <c r="E333" s="13" t="s">
        <v>497</v>
      </c>
      <c r="F333" s="13" t="s">
        <v>26</v>
      </c>
      <c r="G333" s="13" t="s">
        <v>339</v>
      </c>
      <c r="H333" s="13" t="s">
        <v>337</v>
      </c>
    </row>
    <row r="334">
      <c r="A334" s="11">
        <v>69.0</v>
      </c>
      <c r="B334" s="12" t="s">
        <v>533</v>
      </c>
      <c r="C334" s="13" t="s">
        <v>487</v>
      </c>
      <c r="D334" s="13" t="s">
        <v>488</v>
      </c>
      <c r="E334" s="13" t="s">
        <v>497</v>
      </c>
      <c r="F334" s="13" t="s">
        <v>26</v>
      </c>
      <c r="G334" s="13" t="s">
        <v>339</v>
      </c>
      <c r="H334" s="13" t="s">
        <v>337</v>
      </c>
    </row>
    <row r="335">
      <c r="A335" s="11">
        <v>70.0</v>
      </c>
      <c r="B335" s="12" t="s">
        <v>534</v>
      </c>
      <c r="C335" s="13" t="s">
        <v>487</v>
      </c>
      <c r="D335" s="13" t="s">
        <v>488</v>
      </c>
      <c r="E335" s="13" t="s">
        <v>497</v>
      </c>
      <c r="F335" s="13" t="s">
        <v>26</v>
      </c>
      <c r="G335" s="13" t="s">
        <v>339</v>
      </c>
      <c r="H335" s="13" t="s">
        <v>337</v>
      </c>
    </row>
    <row r="336">
      <c r="A336" s="11">
        <v>71.0</v>
      </c>
      <c r="B336" s="12" t="s">
        <v>535</v>
      </c>
      <c r="C336" s="13" t="s">
        <v>487</v>
      </c>
      <c r="D336" s="13" t="s">
        <v>488</v>
      </c>
      <c r="E336" s="13" t="s">
        <v>497</v>
      </c>
      <c r="F336" s="13" t="s">
        <v>26</v>
      </c>
      <c r="G336" s="13" t="s">
        <v>339</v>
      </c>
      <c r="H336" s="13" t="s">
        <v>337</v>
      </c>
    </row>
    <row r="337">
      <c r="A337" s="11">
        <v>72.0</v>
      </c>
      <c r="B337" s="12" t="s">
        <v>536</v>
      </c>
      <c r="C337" s="13" t="s">
        <v>487</v>
      </c>
      <c r="D337" s="13" t="s">
        <v>488</v>
      </c>
      <c r="E337" s="13" t="s">
        <v>497</v>
      </c>
      <c r="F337" s="13" t="s">
        <v>26</v>
      </c>
      <c r="G337" s="13" t="s">
        <v>339</v>
      </c>
      <c r="H337" s="13" t="s">
        <v>337</v>
      </c>
    </row>
    <row r="338">
      <c r="A338" s="11">
        <v>25.0</v>
      </c>
      <c r="B338" s="12" t="s">
        <v>486</v>
      </c>
      <c r="C338" s="13" t="s">
        <v>487</v>
      </c>
      <c r="D338" s="13" t="s">
        <v>488</v>
      </c>
      <c r="E338" s="13" t="s">
        <v>488</v>
      </c>
      <c r="F338" s="13" t="s">
        <v>20</v>
      </c>
      <c r="G338" s="13" t="s">
        <v>341</v>
      </c>
      <c r="H338" s="13" t="s">
        <v>337</v>
      </c>
    </row>
    <row r="339">
      <c r="A339" s="11">
        <v>26.0</v>
      </c>
      <c r="B339" s="12" t="s">
        <v>489</v>
      </c>
      <c r="C339" s="13" t="s">
        <v>487</v>
      </c>
      <c r="D339" s="13" t="s">
        <v>488</v>
      </c>
      <c r="E339" s="13" t="s">
        <v>488</v>
      </c>
      <c r="F339" s="13" t="s">
        <v>20</v>
      </c>
      <c r="G339" s="13" t="s">
        <v>341</v>
      </c>
      <c r="H339" s="13" t="s">
        <v>337</v>
      </c>
    </row>
    <row r="340">
      <c r="A340" s="11">
        <v>27.0</v>
      </c>
      <c r="B340" s="12" t="s">
        <v>490</v>
      </c>
      <c r="C340" s="13" t="s">
        <v>487</v>
      </c>
      <c r="D340" s="13" t="s">
        <v>488</v>
      </c>
      <c r="E340" s="13" t="s">
        <v>488</v>
      </c>
      <c r="F340" s="13" t="s">
        <v>20</v>
      </c>
      <c r="G340" s="13" t="s">
        <v>341</v>
      </c>
      <c r="H340" s="13" t="s">
        <v>337</v>
      </c>
    </row>
    <row r="341">
      <c r="A341" s="11">
        <v>28.0</v>
      </c>
      <c r="B341" s="12" t="s">
        <v>491</v>
      </c>
      <c r="C341" s="13" t="s">
        <v>487</v>
      </c>
      <c r="D341" s="13" t="s">
        <v>488</v>
      </c>
      <c r="E341" s="13" t="s">
        <v>488</v>
      </c>
      <c r="F341" s="13" t="s">
        <v>20</v>
      </c>
      <c r="G341" s="13" t="s">
        <v>341</v>
      </c>
      <c r="H341" s="13" t="s">
        <v>337</v>
      </c>
    </row>
    <row r="342">
      <c r="A342" s="11">
        <v>29.0</v>
      </c>
      <c r="B342" s="12" t="s">
        <v>492</v>
      </c>
      <c r="C342" s="13" t="s">
        <v>487</v>
      </c>
      <c r="D342" s="13" t="s">
        <v>488</v>
      </c>
      <c r="E342" s="13" t="s">
        <v>488</v>
      </c>
      <c r="F342" s="13" t="s">
        <v>20</v>
      </c>
      <c r="G342" s="13" t="s">
        <v>341</v>
      </c>
      <c r="H342" s="13" t="s">
        <v>337</v>
      </c>
    </row>
    <row r="343">
      <c r="A343" s="11">
        <v>30.0</v>
      </c>
      <c r="B343" s="12" t="s">
        <v>493</v>
      </c>
      <c r="C343" s="13" t="s">
        <v>487</v>
      </c>
      <c r="D343" s="13" t="s">
        <v>488</v>
      </c>
      <c r="E343" s="13" t="s">
        <v>488</v>
      </c>
      <c r="F343" s="13" t="s">
        <v>20</v>
      </c>
      <c r="G343" s="13" t="s">
        <v>341</v>
      </c>
      <c r="H343" s="13" t="s">
        <v>337</v>
      </c>
    </row>
    <row r="344">
      <c r="A344" s="11">
        <v>31.0</v>
      </c>
      <c r="B344" s="12" t="s">
        <v>494</v>
      </c>
      <c r="C344" s="13" t="s">
        <v>487</v>
      </c>
      <c r="D344" s="13" t="s">
        <v>488</v>
      </c>
      <c r="E344" s="13" t="s">
        <v>488</v>
      </c>
      <c r="F344" s="13" t="s">
        <v>20</v>
      </c>
      <c r="G344" s="13" t="s">
        <v>341</v>
      </c>
      <c r="H344" s="13" t="s">
        <v>337</v>
      </c>
    </row>
    <row r="345">
      <c r="A345" s="11">
        <v>32.0</v>
      </c>
      <c r="B345" s="12" t="s">
        <v>495</v>
      </c>
      <c r="C345" s="13" t="s">
        <v>487</v>
      </c>
      <c r="D345" s="13" t="s">
        <v>488</v>
      </c>
      <c r="E345" s="13" t="s">
        <v>488</v>
      </c>
      <c r="F345" s="13" t="s">
        <v>20</v>
      </c>
      <c r="G345" s="13" t="s">
        <v>341</v>
      </c>
      <c r="H345" s="13" t="s">
        <v>337</v>
      </c>
    </row>
    <row r="346">
      <c r="A346" s="11">
        <v>33.0</v>
      </c>
      <c r="B346" s="13" t="s">
        <v>496</v>
      </c>
      <c r="C346" s="13" t="s">
        <v>487</v>
      </c>
      <c r="D346" s="13" t="s">
        <v>497</v>
      </c>
      <c r="E346" s="13" t="s">
        <v>497</v>
      </c>
      <c r="F346" s="13" t="s">
        <v>20</v>
      </c>
      <c r="G346" s="13" t="s">
        <v>341</v>
      </c>
      <c r="H346" s="13" t="s">
        <v>337</v>
      </c>
    </row>
    <row r="347">
      <c r="A347" s="11">
        <v>34.0</v>
      </c>
      <c r="B347" s="13" t="s">
        <v>498</v>
      </c>
      <c r="C347" s="13" t="s">
        <v>487</v>
      </c>
      <c r="D347" s="13" t="s">
        <v>497</v>
      </c>
      <c r="E347" s="13" t="s">
        <v>497</v>
      </c>
      <c r="F347" s="13" t="s">
        <v>20</v>
      </c>
      <c r="G347" s="13" t="s">
        <v>341</v>
      </c>
      <c r="H347" s="13" t="s">
        <v>337</v>
      </c>
    </row>
    <row r="348">
      <c r="A348" s="11">
        <v>35.0</v>
      </c>
      <c r="B348" s="13" t="s">
        <v>499</v>
      </c>
      <c r="C348" s="13" t="s">
        <v>487</v>
      </c>
      <c r="D348" s="13" t="s">
        <v>497</v>
      </c>
      <c r="E348" s="13" t="s">
        <v>497</v>
      </c>
      <c r="F348" s="13" t="s">
        <v>20</v>
      </c>
      <c r="G348" s="13" t="s">
        <v>341</v>
      </c>
      <c r="H348" s="13" t="s">
        <v>337</v>
      </c>
    </row>
    <row r="349">
      <c r="A349" s="11">
        <v>36.0</v>
      </c>
      <c r="B349" s="13" t="s">
        <v>500</v>
      </c>
      <c r="C349" s="13" t="s">
        <v>487</v>
      </c>
      <c r="D349" s="13" t="s">
        <v>497</v>
      </c>
      <c r="E349" s="13" t="s">
        <v>497</v>
      </c>
      <c r="F349" s="13" t="s">
        <v>20</v>
      </c>
      <c r="G349" s="13" t="s">
        <v>341</v>
      </c>
      <c r="H349" s="13" t="s">
        <v>337</v>
      </c>
    </row>
    <row r="350">
      <c r="A350" s="11">
        <v>37.0</v>
      </c>
      <c r="B350" s="13" t="s">
        <v>501</v>
      </c>
      <c r="C350" s="13" t="s">
        <v>487</v>
      </c>
      <c r="D350" s="13" t="s">
        <v>497</v>
      </c>
      <c r="E350" s="13" t="s">
        <v>497</v>
      </c>
      <c r="F350" s="13" t="s">
        <v>20</v>
      </c>
      <c r="G350" s="13" t="s">
        <v>341</v>
      </c>
      <c r="H350" s="13" t="s">
        <v>337</v>
      </c>
    </row>
    <row r="351">
      <c r="A351" s="11">
        <v>38.0</v>
      </c>
      <c r="B351" s="12" t="s">
        <v>502</v>
      </c>
      <c r="C351" s="13" t="s">
        <v>487</v>
      </c>
      <c r="D351" s="13" t="s">
        <v>497</v>
      </c>
      <c r="E351" s="13" t="s">
        <v>497</v>
      </c>
      <c r="F351" s="13" t="s">
        <v>20</v>
      </c>
      <c r="G351" s="13" t="s">
        <v>341</v>
      </c>
      <c r="H351" s="13" t="s">
        <v>337</v>
      </c>
    </row>
    <row r="352">
      <c r="A352" s="11">
        <v>39.0</v>
      </c>
      <c r="B352" s="12" t="s">
        <v>503</v>
      </c>
      <c r="C352" s="13" t="s">
        <v>487</v>
      </c>
      <c r="D352" s="13" t="s">
        <v>497</v>
      </c>
      <c r="E352" s="13" t="s">
        <v>497</v>
      </c>
      <c r="F352" s="13" t="s">
        <v>20</v>
      </c>
      <c r="G352" s="13" t="s">
        <v>341</v>
      </c>
      <c r="H352" s="13" t="s">
        <v>337</v>
      </c>
    </row>
    <row r="353">
      <c r="A353" s="11">
        <v>40.0</v>
      </c>
      <c r="B353" s="12" t="s">
        <v>504</v>
      </c>
      <c r="C353" s="13" t="s">
        <v>487</v>
      </c>
      <c r="D353" s="13" t="s">
        <v>497</v>
      </c>
      <c r="E353" s="13" t="s">
        <v>497</v>
      </c>
      <c r="F353" s="13" t="s">
        <v>20</v>
      </c>
      <c r="G353" s="13" t="s">
        <v>341</v>
      </c>
      <c r="H353" s="13" t="s">
        <v>337</v>
      </c>
    </row>
    <row r="354">
      <c r="A354" s="11">
        <v>41.0</v>
      </c>
      <c r="B354" s="12" t="s">
        <v>505</v>
      </c>
      <c r="C354" s="13" t="s">
        <v>487</v>
      </c>
      <c r="D354" s="13" t="s">
        <v>488</v>
      </c>
      <c r="E354" s="13" t="s">
        <v>497</v>
      </c>
      <c r="F354" s="13" t="s">
        <v>20</v>
      </c>
      <c r="G354" s="13" t="s">
        <v>341</v>
      </c>
      <c r="H354" s="13" t="s">
        <v>337</v>
      </c>
    </row>
    <row r="355">
      <c r="A355" s="11">
        <v>42.0</v>
      </c>
      <c r="B355" s="12" t="s">
        <v>506</v>
      </c>
      <c r="C355" s="13" t="s">
        <v>487</v>
      </c>
      <c r="D355" s="13" t="s">
        <v>488</v>
      </c>
      <c r="E355" s="13" t="s">
        <v>497</v>
      </c>
      <c r="F355" s="13" t="s">
        <v>20</v>
      </c>
      <c r="G355" s="13" t="s">
        <v>341</v>
      </c>
      <c r="H355" s="13" t="s">
        <v>337</v>
      </c>
    </row>
    <row r="356">
      <c r="A356" s="11">
        <v>43.0</v>
      </c>
      <c r="B356" s="12" t="s">
        <v>507</v>
      </c>
      <c r="C356" s="13" t="s">
        <v>487</v>
      </c>
      <c r="D356" s="13" t="s">
        <v>488</v>
      </c>
      <c r="E356" s="13" t="s">
        <v>497</v>
      </c>
      <c r="F356" s="13" t="s">
        <v>20</v>
      </c>
      <c r="G356" s="13" t="s">
        <v>341</v>
      </c>
      <c r="H356" s="13" t="s">
        <v>337</v>
      </c>
    </row>
    <row r="357">
      <c r="A357" s="11">
        <v>44.0</v>
      </c>
      <c r="B357" s="12" t="s">
        <v>508</v>
      </c>
      <c r="C357" s="13" t="s">
        <v>487</v>
      </c>
      <c r="D357" s="13" t="s">
        <v>488</v>
      </c>
      <c r="E357" s="13" t="s">
        <v>497</v>
      </c>
      <c r="F357" s="13" t="s">
        <v>20</v>
      </c>
      <c r="G357" s="13" t="s">
        <v>341</v>
      </c>
      <c r="H357" s="13" t="s">
        <v>337</v>
      </c>
    </row>
    <row r="358">
      <c r="A358" s="11">
        <v>45.0</v>
      </c>
      <c r="B358" s="12" t="s">
        <v>509</v>
      </c>
      <c r="C358" s="13" t="s">
        <v>487</v>
      </c>
      <c r="D358" s="13" t="s">
        <v>488</v>
      </c>
      <c r="E358" s="13" t="s">
        <v>497</v>
      </c>
      <c r="F358" s="13" t="s">
        <v>20</v>
      </c>
      <c r="G358" s="13" t="s">
        <v>341</v>
      </c>
      <c r="H358" s="13" t="s">
        <v>337</v>
      </c>
    </row>
    <row r="359">
      <c r="A359" s="11">
        <v>46.0</v>
      </c>
      <c r="B359" s="12" t="s">
        <v>510</v>
      </c>
      <c r="C359" s="13" t="s">
        <v>487</v>
      </c>
      <c r="D359" s="13" t="s">
        <v>488</v>
      </c>
      <c r="E359" s="13" t="s">
        <v>497</v>
      </c>
      <c r="F359" s="13" t="s">
        <v>20</v>
      </c>
      <c r="G359" s="13" t="s">
        <v>341</v>
      </c>
      <c r="H359" s="13" t="s">
        <v>337</v>
      </c>
    </row>
    <row r="360">
      <c r="A360" s="11">
        <v>47.0</v>
      </c>
      <c r="B360" s="12" t="s">
        <v>511</v>
      </c>
      <c r="C360" s="13" t="s">
        <v>487</v>
      </c>
      <c r="D360" s="13" t="s">
        <v>488</v>
      </c>
      <c r="E360" s="13" t="s">
        <v>497</v>
      </c>
      <c r="F360" s="13" t="s">
        <v>20</v>
      </c>
      <c r="G360" s="13" t="s">
        <v>341</v>
      </c>
      <c r="H360" s="13" t="s">
        <v>337</v>
      </c>
    </row>
    <row r="361">
      <c r="A361" s="11">
        <v>48.0</v>
      </c>
      <c r="B361" s="12" t="s">
        <v>512</v>
      </c>
      <c r="C361" s="13" t="s">
        <v>487</v>
      </c>
      <c r="D361" s="13" t="s">
        <v>488</v>
      </c>
      <c r="E361" s="13" t="s">
        <v>497</v>
      </c>
      <c r="F361" s="13" t="s">
        <v>20</v>
      </c>
      <c r="G361" s="13" t="s">
        <v>341</v>
      </c>
      <c r="H361" s="13" t="s">
        <v>337</v>
      </c>
    </row>
    <row r="362">
      <c r="A362" s="11">
        <v>49.0</v>
      </c>
      <c r="B362" s="12" t="s">
        <v>513</v>
      </c>
      <c r="C362" s="13" t="s">
        <v>487</v>
      </c>
      <c r="D362" s="13" t="s">
        <v>497</v>
      </c>
      <c r="E362" s="13" t="s">
        <v>497</v>
      </c>
      <c r="F362" s="13" t="s">
        <v>20</v>
      </c>
      <c r="G362" s="13" t="s">
        <v>341</v>
      </c>
      <c r="H362" s="13" t="s">
        <v>337</v>
      </c>
    </row>
    <row r="363">
      <c r="A363" s="11">
        <v>50.0</v>
      </c>
      <c r="B363" s="12" t="s">
        <v>514</v>
      </c>
      <c r="C363" s="13" t="s">
        <v>487</v>
      </c>
      <c r="D363" s="13" t="s">
        <v>497</v>
      </c>
      <c r="E363" s="13" t="s">
        <v>497</v>
      </c>
      <c r="F363" s="13" t="s">
        <v>20</v>
      </c>
      <c r="G363" s="13" t="s">
        <v>341</v>
      </c>
      <c r="H363" s="13" t="s">
        <v>337</v>
      </c>
    </row>
    <row r="364">
      <c r="A364" s="11">
        <v>51.0</v>
      </c>
      <c r="B364" s="12" t="s">
        <v>515</v>
      </c>
      <c r="C364" s="13" t="s">
        <v>487</v>
      </c>
      <c r="D364" s="13" t="s">
        <v>497</v>
      </c>
      <c r="E364" s="13" t="s">
        <v>497</v>
      </c>
      <c r="F364" s="13" t="s">
        <v>20</v>
      </c>
      <c r="G364" s="13" t="s">
        <v>341</v>
      </c>
      <c r="H364" s="13" t="s">
        <v>337</v>
      </c>
    </row>
    <row r="365">
      <c r="A365" s="11">
        <v>52.0</v>
      </c>
      <c r="B365" s="12" t="s">
        <v>516</v>
      </c>
      <c r="C365" s="13" t="s">
        <v>487</v>
      </c>
      <c r="D365" s="13" t="s">
        <v>497</v>
      </c>
      <c r="E365" s="13" t="s">
        <v>497</v>
      </c>
      <c r="F365" s="13" t="s">
        <v>20</v>
      </c>
      <c r="G365" s="13" t="s">
        <v>341</v>
      </c>
      <c r="H365" s="13" t="s">
        <v>337</v>
      </c>
    </row>
    <row r="366">
      <c r="A366" s="11">
        <v>53.0</v>
      </c>
      <c r="B366" s="12" t="s">
        <v>517</v>
      </c>
      <c r="C366" s="13" t="s">
        <v>487</v>
      </c>
      <c r="D366" s="13" t="s">
        <v>497</v>
      </c>
      <c r="E366" s="13" t="s">
        <v>497</v>
      </c>
      <c r="F366" s="13" t="s">
        <v>20</v>
      </c>
      <c r="G366" s="13" t="s">
        <v>341</v>
      </c>
      <c r="H366" s="13" t="s">
        <v>337</v>
      </c>
    </row>
    <row r="367">
      <c r="A367" s="11">
        <v>54.0</v>
      </c>
      <c r="B367" s="12" t="s">
        <v>518</v>
      </c>
      <c r="C367" s="13" t="s">
        <v>487</v>
      </c>
      <c r="D367" s="13" t="s">
        <v>497</v>
      </c>
      <c r="E367" s="13" t="s">
        <v>497</v>
      </c>
      <c r="F367" s="13" t="s">
        <v>20</v>
      </c>
      <c r="G367" s="13" t="s">
        <v>341</v>
      </c>
      <c r="H367" s="13" t="s">
        <v>337</v>
      </c>
    </row>
    <row r="368">
      <c r="A368" s="11">
        <v>55.0</v>
      </c>
      <c r="B368" s="12" t="s">
        <v>519</v>
      </c>
      <c r="C368" s="13" t="s">
        <v>487</v>
      </c>
      <c r="D368" s="13" t="s">
        <v>497</v>
      </c>
      <c r="E368" s="13" t="s">
        <v>497</v>
      </c>
      <c r="F368" s="13" t="s">
        <v>20</v>
      </c>
      <c r="G368" s="13" t="s">
        <v>341</v>
      </c>
      <c r="H368" s="13" t="s">
        <v>337</v>
      </c>
    </row>
    <row r="369">
      <c r="A369" s="11">
        <v>56.0</v>
      </c>
      <c r="B369" s="12" t="s">
        <v>520</v>
      </c>
      <c r="C369" s="13" t="s">
        <v>487</v>
      </c>
      <c r="D369" s="13" t="s">
        <v>497</v>
      </c>
      <c r="E369" s="13" t="s">
        <v>497</v>
      </c>
      <c r="F369" s="13" t="s">
        <v>20</v>
      </c>
      <c r="G369" s="13" t="s">
        <v>341</v>
      </c>
      <c r="H369" s="13" t="s">
        <v>337</v>
      </c>
    </row>
    <row r="370">
      <c r="A370" s="11">
        <v>57.0</v>
      </c>
      <c r="B370" s="12" t="s">
        <v>521</v>
      </c>
      <c r="C370" s="13" t="s">
        <v>487</v>
      </c>
      <c r="D370" s="13" t="s">
        <v>497</v>
      </c>
      <c r="E370" s="13" t="s">
        <v>497</v>
      </c>
      <c r="F370" s="13" t="s">
        <v>26</v>
      </c>
      <c r="G370" s="13" t="s">
        <v>341</v>
      </c>
      <c r="H370" s="13" t="s">
        <v>337</v>
      </c>
    </row>
    <row r="371">
      <c r="A371" s="11">
        <v>58.0</v>
      </c>
      <c r="B371" s="12" t="s">
        <v>522</v>
      </c>
      <c r="C371" s="13" t="s">
        <v>487</v>
      </c>
      <c r="D371" s="13" t="s">
        <v>497</v>
      </c>
      <c r="E371" s="13" t="s">
        <v>497</v>
      </c>
      <c r="F371" s="13" t="s">
        <v>26</v>
      </c>
      <c r="G371" s="13" t="s">
        <v>341</v>
      </c>
      <c r="H371" s="13" t="s">
        <v>337</v>
      </c>
    </row>
    <row r="372">
      <c r="A372" s="11">
        <v>59.0</v>
      </c>
      <c r="B372" s="12" t="s">
        <v>523</v>
      </c>
      <c r="C372" s="13" t="s">
        <v>487</v>
      </c>
      <c r="D372" s="13" t="s">
        <v>497</v>
      </c>
      <c r="E372" s="13" t="s">
        <v>497</v>
      </c>
      <c r="F372" s="13" t="s">
        <v>26</v>
      </c>
      <c r="G372" s="13" t="s">
        <v>341</v>
      </c>
      <c r="H372" s="13" t="s">
        <v>337</v>
      </c>
    </row>
    <row r="373">
      <c r="A373" s="11">
        <v>60.0</v>
      </c>
      <c r="B373" s="12" t="s">
        <v>524</v>
      </c>
      <c r="C373" s="13" t="s">
        <v>487</v>
      </c>
      <c r="D373" s="13" t="s">
        <v>497</v>
      </c>
      <c r="E373" s="13" t="s">
        <v>497</v>
      </c>
      <c r="F373" s="13" t="s">
        <v>26</v>
      </c>
      <c r="G373" s="13" t="s">
        <v>341</v>
      </c>
      <c r="H373" s="13" t="s">
        <v>337</v>
      </c>
    </row>
    <row r="374">
      <c r="A374" s="11">
        <v>61.0</v>
      </c>
      <c r="B374" s="12" t="s">
        <v>525</v>
      </c>
      <c r="C374" s="13" t="s">
        <v>487</v>
      </c>
      <c r="D374" s="13" t="s">
        <v>497</v>
      </c>
      <c r="E374" s="13" t="s">
        <v>497</v>
      </c>
      <c r="F374" s="13" t="s">
        <v>26</v>
      </c>
      <c r="G374" s="13" t="s">
        <v>341</v>
      </c>
      <c r="H374" s="13" t="s">
        <v>337</v>
      </c>
    </row>
    <row r="375">
      <c r="A375" s="11">
        <v>62.0</v>
      </c>
      <c r="B375" s="12" t="s">
        <v>526</v>
      </c>
      <c r="C375" s="13" t="s">
        <v>487</v>
      </c>
      <c r="D375" s="13" t="s">
        <v>497</v>
      </c>
      <c r="E375" s="13" t="s">
        <v>497</v>
      </c>
      <c r="F375" s="13" t="s">
        <v>26</v>
      </c>
      <c r="G375" s="13" t="s">
        <v>341</v>
      </c>
      <c r="H375" s="13" t="s">
        <v>337</v>
      </c>
    </row>
    <row r="376">
      <c r="A376" s="11">
        <v>63.0</v>
      </c>
      <c r="B376" s="12" t="s">
        <v>527</v>
      </c>
      <c r="C376" s="13" t="s">
        <v>487</v>
      </c>
      <c r="D376" s="13" t="s">
        <v>497</v>
      </c>
      <c r="E376" s="13" t="s">
        <v>497</v>
      </c>
      <c r="F376" s="13" t="s">
        <v>26</v>
      </c>
      <c r="G376" s="13" t="s">
        <v>341</v>
      </c>
      <c r="H376" s="13" t="s">
        <v>337</v>
      </c>
    </row>
    <row r="377">
      <c r="A377" s="11">
        <v>64.0</v>
      </c>
      <c r="B377" s="12" t="s">
        <v>528</v>
      </c>
      <c r="C377" s="13" t="s">
        <v>487</v>
      </c>
      <c r="D377" s="13" t="s">
        <v>497</v>
      </c>
      <c r="E377" s="13" t="s">
        <v>497</v>
      </c>
      <c r="F377" s="13" t="s">
        <v>26</v>
      </c>
      <c r="G377" s="13" t="s">
        <v>341</v>
      </c>
      <c r="H377" s="13" t="s">
        <v>337</v>
      </c>
    </row>
    <row r="378">
      <c r="A378" s="11">
        <v>65.0</v>
      </c>
      <c r="B378" s="12" t="s">
        <v>529</v>
      </c>
      <c r="C378" s="13" t="s">
        <v>487</v>
      </c>
      <c r="D378" s="13" t="s">
        <v>488</v>
      </c>
      <c r="E378" s="13" t="s">
        <v>497</v>
      </c>
      <c r="F378" s="13" t="s">
        <v>26</v>
      </c>
      <c r="G378" s="13" t="s">
        <v>341</v>
      </c>
      <c r="H378" s="13" t="s">
        <v>337</v>
      </c>
    </row>
    <row r="379">
      <c r="A379" s="11">
        <v>66.0</v>
      </c>
      <c r="B379" s="12" t="s">
        <v>530</v>
      </c>
      <c r="C379" s="13" t="s">
        <v>487</v>
      </c>
      <c r="D379" s="13" t="s">
        <v>488</v>
      </c>
      <c r="E379" s="13" t="s">
        <v>497</v>
      </c>
      <c r="F379" s="13" t="s">
        <v>26</v>
      </c>
      <c r="G379" s="13" t="s">
        <v>341</v>
      </c>
      <c r="H379" s="13" t="s">
        <v>337</v>
      </c>
    </row>
    <row r="380">
      <c r="A380" s="11">
        <v>67.0</v>
      </c>
      <c r="B380" s="12" t="s">
        <v>531</v>
      </c>
      <c r="C380" s="13" t="s">
        <v>487</v>
      </c>
      <c r="D380" s="13" t="s">
        <v>488</v>
      </c>
      <c r="E380" s="13" t="s">
        <v>497</v>
      </c>
      <c r="F380" s="13" t="s">
        <v>26</v>
      </c>
      <c r="G380" s="13" t="s">
        <v>341</v>
      </c>
      <c r="H380" s="13" t="s">
        <v>337</v>
      </c>
    </row>
    <row r="381">
      <c r="A381" s="11">
        <v>68.0</v>
      </c>
      <c r="B381" s="12" t="s">
        <v>532</v>
      </c>
      <c r="C381" s="13" t="s">
        <v>487</v>
      </c>
      <c r="D381" s="13" t="s">
        <v>488</v>
      </c>
      <c r="E381" s="13" t="s">
        <v>497</v>
      </c>
      <c r="F381" s="13" t="s">
        <v>26</v>
      </c>
      <c r="G381" s="13" t="s">
        <v>341</v>
      </c>
      <c r="H381" s="13" t="s">
        <v>337</v>
      </c>
    </row>
    <row r="382">
      <c r="A382" s="11">
        <v>69.0</v>
      </c>
      <c r="B382" s="12" t="s">
        <v>533</v>
      </c>
      <c r="C382" s="13" t="s">
        <v>487</v>
      </c>
      <c r="D382" s="13" t="s">
        <v>488</v>
      </c>
      <c r="E382" s="13" t="s">
        <v>497</v>
      </c>
      <c r="F382" s="13" t="s">
        <v>26</v>
      </c>
      <c r="G382" s="13" t="s">
        <v>341</v>
      </c>
      <c r="H382" s="13" t="s">
        <v>337</v>
      </c>
    </row>
    <row r="383">
      <c r="A383" s="11">
        <v>70.0</v>
      </c>
      <c r="B383" s="12" t="s">
        <v>534</v>
      </c>
      <c r="C383" s="13" t="s">
        <v>487</v>
      </c>
      <c r="D383" s="13" t="s">
        <v>488</v>
      </c>
      <c r="E383" s="13" t="s">
        <v>497</v>
      </c>
      <c r="F383" s="13" t="s">
        <v>26</v>
      </c>
      <c r="G383" s="13" t="s">
        <v>341</v>
      </c>
      <c r="H383" s="13" t="s">
        <v>337</v>
      </c>
    </row>
    <row r="384">
      <c r="A384" s="11">
        <v>71.0</v>
      </c>
      <c r="B384" s="12" t="s">
        <v>535</v>
      </c>
      <c r="C384" s="13" t="s">
        <v>487</v>
      </c>
      <c r="D384" s="13" t="s">
        <v>488</v>
      </c>
      <c r="E384" s="13" t="s">
        <v>497</v>
      </c>
      <c r="F384" s="13" t="s">
        <v>26</v>
      </c>
      <c r="G384" s="13" t="s">
        <v>341</v>
      </c>
      <c r="H384" s="13" t="s">
        <v>337</v>
      </c>
    </row>
    <row r="385">
      <c r="A385" s="11">
        <v>72.0</v>
      </c>
      <c r="B385" s="12" t="s">
        <v>536</v>
      </c>
      <c r="C385" s="13" t="s">
        <v>487</v>
      </c>
      <c r="D385" s="13" t="s">
        <v>488</v>
      </c>
      <c r="E385" s="13" t="s">
        <v>497</v>
      </c>
      <c r="F385" s="13" t="s">
        <v>26</v>
      </c>
      <c r="G385" s="13" t="s">
        <v>341</v>
      </c>
      <c r="H385" s="13" t="s">
        <v>337</v>
      </c>
    </row>
    <row r="386">
      <c r="A386" s="11">
        <v>25.0</v>
      </c>
      <c r="B386" s="12" t="s">
        <v>486</v>
      </c>
      <c r="C386" s="13" t="s">
        <v>487</v>
      </c>
      <c r="D386" s="13" t="s">
        <v>488</v>
      </c>
      <c r="E386" s="13" t="s">
        <v>488</v>
      </c>
      <c r="F386" s="13" t="s">
        <v>20</v>
      </c>
      <c r="G386" s="13" t="s">
        <v>343</v>
      </c>
      <c r="H386" s="13" t="s">
        <v>337</v>
      </c>
    </row>
    <row r="387">
      <c r="A387" s="11">
        <v>26.0</v>
      </c>
      <c r="B387" s="12" t="s">
        <v>489</v>
      </c>
      <c r="C387" s="13" t="s">
        <v>487</v>
      </c>
      <c r="D387" s="13" t="s">
        <v>488</v>
      </c>
      <c r="E387" s="13" t="s">
        <v>488</v>
      </c>
      <c r="F387" s="13" t="s">
        <v>20</v>
      </c>
      <c r="G387" s="13" t="s">
        <v>343</v>
      </c>
      <c r="H387" s="13" t="s">
        <v>337</v>
      </c>
    </row>
    <row r="388">
      <c r="A388" s="11">
        <v>27.0</v>
      </c>
      <c r="B388" s="12" t="s">
        <v>490</v>
      </c>
      <c r="C388" s="13" t="s">
        <v>487</v>
      </c>
      <c r="D388" s="13" t="s">
        <v>488</v>
      </c>
      <c r="E388" s="13" t="s">
        <v>488</v>
      </c>
      <c r="F388" s="13" t="s">
        <v>20</v>
      </c>
      <c r="G388" s="13" t="s">
        <v>343</v>
      </c>
      <c r="H388" s="13" t="s">
        <v>337</v>
      </c>
    </row>
    <row r="389">
      <c r="A389" s="11">
        <v>28.0</v>
      </c>
      <c r="B389" s="12" t="s">
        <v>491</v>
      </c>
      <c r="C389" s="13" t="s">
        <v>487</v>
      </c>
      <c r="D389" s="13" t="s">
        <v>488</v>
      </c>
      <c r="E389" s="13" t="s">
        <v>488</v>
      </c>
      <c r="F389" s="13" t="s">
        <v>20</v>
      </c>
      <c r="G389" s="13" t="s">
        <v>343</v>
      </c>
      <c r="H389" s="13" t="s">
        <v>337</v>
      </c>
    </row>
    <row r="390">
      <c r="A390" s="11">
        <v>29.0</v>
      </c>
      <c r="B390" s="12" t="s">
        <v>492</v>
      </c>
      <c r="C390" s="13" t="s">
        <v>487</v>
      </c>
      <c r="D390" s="13" t="s">
        <v>488</v>
      </c>
      <c r="E390" s="13" t="s">
        <v>488</v>
      </c>
      <c r="F390" s="13" t="s">
        <v>20</v>
      </c>
      <c r="G390" s="13" t="s">
        <v>343</v>
      </c>
      <c r="H390" s="13" t="s">
        <v>337</v>
      </c>
    </row>
    <row r="391">
      <c r="A391" s="11">
        <v>30.0</v>
      </c>
      <c r="B391" s="12" t="s">
        <v>493</v>
      </c>
      <c r="C391" s="13" t="s">
        <v>487</v>
      </c>
      <c r="D391" s="13" t="s">
        <v>488</v>
      </c>
      <c r="E391" s="13" t="s">
        <v>488</v>
      </c>
      <c r="F391" s="13" t="s">
        <v>20</v>
      </c>
      <c r="G391" s="13" t="s">
        <v>343</v>
      </c>
      <c r="H391" s="13" t="s">
        <v>337</v>
      </c>
    </row>
    <row r="392">
      <c r="A392" s="11">
        <v>31.0</v>
      </c>
      <c r="B392" s="12" t="s">
        <v>494</v>
      </c>
      <c r="C392" s="13" t="s">
        <v>487</v>
      </c>
      <c r="D392" s="13" t="s">
        <v>488</v>
      </c>
      <c r="E392" s="13" t="s">
        <v>488</v>
      </c>
      <c r="F392" s="13" t="s">
        <v>20</v>
      </c>
      <c r="G392" s="13" t="s">
        <v>343</v>
      </c>
      <c r="H392" s="13" t="s">
        <v>337</v>
      </c>
    </row>
    <row r="393">
      <c r="A393" s="11">
        <v>32.0</v>
      </c>
      <c r="B393" s="12" t="s">
        <v>495</v>
      </c>
      <c r="C393" s="13" t="s">
        <v>487</v>
      </c>
      <c r="D393" s="13" t="s">
        <v>488</v>
      </c>
      <c r="E393" s="13" t="s">
        <v>488</v>
      </c>
      <c r="F393" s="13" t="s">
        <v>20</v>
      </c>
      <c r="G393" s="13" t="s">
        <v>343</v>
      </c>
      <c r="H393" s="13" t="s">
        <v>337</v>
      </c>
    </row>
    <row r="394">
      <c r="A394" s="11">
        <v>33.0</v>
      </c>
      <c r="B394" s="13" t="s">
        <v>496</v>
      </c>
      <c r="C394" s="13" t="s">
        <v>487</v>
      </c>
      <c r="D394" s="13" t="s">
        <v>497</v>
      </c>
      <c r="E394" s="13" t="s">
        <v>497</v>
      </c>
      <c r="F394" s="13" t="s">
        <v>20</v>
      </c>
      <c r="G394" s="13" t="s">
        <v>343</v>
      </c>
      <c r="H394" s="13" t="s">
        <v>337</v>
      </c>
    </row>
    <row r="395">
      <c r="A395" s="11">
        <v>34.0</v>
      </c>
      <c r="B395" s="13" t="s">
        <v>498</v>
      </c>
      <c r="C395" s="13" t="s">
        <v>487</v>
      </c>
      <c r="D395" s="13" t="s">
        <v>497</v>
      </c>
      <c r="E395" s="13" t="s">
        <v>497</v>
      </c>
      <c r="F395" s="13" t="s">
        <v>20</v>
      </c>
      <c r="G395" s="13" t="s">
        <v>343</v>
      </c>
      <c r="H395" s="13" t="s">
        <v>337</v>
      </c>
    </row>
    <row r="396">
      <c r="A396" s="11">
        <v>35.0</v>
      </c>
      <c r="B396" s="13" t="s">
        <v>499</v>
      </c>
      <c r="C396" s="13" t="s">
        <v>487</v>
      </c>
      <c r="D396" s="13" t="s">
        <v>497</v>
      </c>
      <c r="E396" s="13" t="s">
        <v>497</v>
      </c>
      <c r="F396" s="13" t="s">
        <v>20</v>
      </c>
      <c r="G396" s="13" t="s">
        <v>343</v>
      </c>
      <c r="H396" s="13" t="s">
        <v>337</v>
      </c>
    </row>
    <row r="397">
      <c r="A397" s="11">
        <v>36.0</v>
      </c>
      <c r="B397" s="13" t="s">
        <v>500</v>
      </c>
      <c r="C397" s="13" t="s">
        <v>487</v>
      </c>
      <c r="D397" s="13" t="s">
        <v>497</v>
      </c>
      <c r="E397" s="13" t="s">
        <v>497</v>
      </c>
      <c r="F397" s="13" t="s">
        <v>20</v>
      </c>
      <c r="G397" s="13" t="s">
        <v>343</v>
      </c>
      <c r="H397" s="13" t="s">
        <v>337</v>
      </c>
    </row>
    <row r="398">
      <c r="A398" s="11">
        <v>37.0</v>
      </c>
      <c r="B398" s="13" t="s">
        <v>501</v>
      </c>
      <c r="C398" s="13" t="s">
        <v>487</v>
      </c>
      <c r="D398" s="13" t="s">
        <v>497</v>
      </c>
      <c r="E398" s="13" t="s">
        <v>497</v>
      </c>
      <c r="F398" s="13" t="s">
        <v>20</v>
      </c>
      <c r="G398" s="13" t="s">
        <v>343</v>
      </c>
      <c r="H398" s="13" t="s">
        <v>337</v>
      </c>
    </row>
    <row r="399">
      <c r="A399" s="11">
        <v>38.0</v>
      </c>
      <c r="B399" s="12" t="s">
        <v>502</v>
      </c>
      <c r="C399" s="13" t="s">
        <v>487</v>
      </c>
      <c r="D399" s="13" t="s">
        <v>497</v>
      </c>
      <c r="E399" s="13" t="s">
        <v>497</v>
      </c>
      <c r="F399" s="13" t="s">
        <v>20</v>
      </c>
      <c r="G399" s="13" t="s">
        <v>343</v>
      </c>
      <c r="H399" s="13" t="s">
        <v>337</v>
      </c>
    </row>
    <row r="400">
      <c r="A400" s="11">
        <v>39.0</v>
      </c>
      <c r="B400" s="12" t="s">
        <v>503</v>
      </c>
      <c r="C400" s="13" t="s">
        <v>487</v>
      </c>
      <c r="D400" s="13" t="s">
        <v>497</v>
      </c>
      <c r="E400" s="13" t="s">
        <v>497</v>
      </c>
      <c r="F400" s="13" t="s">
        <v>20</v>
      </c>
      <c r="G400" s="13" t="s">
        <v>343</v>
      </c>
      <c r="H400" s="13" t="s">
        <v>337</v>
      </c>
    </row>
    <row r="401">
      <c r="A401" s="11">
        <v>40.0</v>
      </c>
      <c r="B401" s="12" t="s">
        <v>504</v>
      </c>
      <c r="C401" s="13" t="s">
        <v>487</v>
      </c>
      <c r="D401" s="13" t="s">
        <v>497</v>
      </c>
      <c r="E401" s="13" t="s">
        <v>497</v>
      </c>
      <c r="F401" s="13" t="s">
        <v>20</v>
      </c>
      <c r="G401" s="13" t="s">
        <v>343</v>
      </c>
      <c r="H401" s="13" t="s">
        <v>337</v>
      </c>
    </row>
    <row r="402">
      <c r="A402" s="11">
        <v>41.0</v>
      </c>
      <c r="B402" s="12" t="s">
        <v>505</v>
      </c>
      <c r="C402" s="13" t="s">
        <v>487</v>
      </c>
      <c r="D402" s="13" t="s">
        <v>488</v>
      </c>
      <c r="E402" s="13" t="s">
        <v>497</v>
      </c>
      <c r="F402" s="13" t="s">
        <v>20</v>
      </c>
      <c r="G402" s="13" t="s">
        <v>343</v>
      </c>
      <c r="H402" s="13" t="s">
        <v>337</v>
      </c>
    </row>
    <row r="403">
      <c r="A403" s="11">
        <v>42.0</v>
      </c>
      <c r="B403" s="12" t="s">
        <v>506</v>
      </c>
      <c r="C403" s="13" t="s">
        <v>487</v>
      </c>
      <c r="D403" s="13" t="s">
        <v>488</v>
      </c>
      <c r="E403" s="13" t="s">
        <v>497</v>
      </c>
      <c r="F403" s="13" t="s">
        <v>20</v>
      </c>
      <c r="G403" s="13" t="s">
        <v>343</v>
      </c>
      <c r="H403" s="13" t="s">
        <v>337</v>
      </c>
    </row>
    <row r="404">
      <c r="A404" s="11">
        <v>43.0</v>
      </c>
      <c r="B404" s="12" t="s">
        <v>507</v>
      </c>
      <c r="C404" s="13" t="s">
        <v>487</v>
      </c>
      <c r="D404" s="13" t="s">
        <v>488</v>
      </c>
      <c r="E404" s="13" t="s">
        <v>497</v>
      </c>
      <c r="F404" s="13" t="s">
        <v>20</v>
      </c>
      <c r="G404" s="13" t="s">
        <v>343</v>
      </c>
      <c r="H404" s="13" t="s">
        <v>337</v>
      </c>
    </row>
    <row r="405">
      <c r="A405" s="11">
        <v>44.0</v>
      </c>
      <c r="B405" s="12" t="s">
        <v>508</v>
      </c>
      <c r="C405" s="13" t="s">
        <v>487</v>
      </c>
      <c r="D405" s="13" t="s">
        <v>488</v>
      </c>
      <c r="E405" s="13" t="s">
        <v>497</v>
      </c>
      <c r="F405" s="13" t="s">
        <v>20</v>
      </c>
      <c r="G405" s="13" t="s">
        <v>343</v>
      </c>
      <c r="H405" s="13" t="s">
        <v>337</v>
      </c>
    </row>
    <row r="406">
      <c r="A406" s="11">
        <v>45.0</v>
      </c>
      <c r="B406" s="12" t="s">
        <v>509</v>
      </c>
      <c r="C406" s="13" t="s">
        <v>487</v>
      </c>
      <c r="D406" s="13" t="s">
        <v>488</v>
      </c>
      <c r="E406" s="13" t="s">
        <v>497</v>
      </c>
      <c r="F406" s="13" t="s">
        <v>20</v>
      </c>
      <c r="G406" s="13" t="s">
        <v>343</v>
      </c>
      <c r="H406" s="13" t="s">
        <v>337</v>
      </c>
    </row>
    <row r="407">
      <c r="A407" s="11">
        <v>46.0</v>
      </c>
      <c r="B407" s="12" t="s">
        <v>510</v>
      </c>
      <c r="C407" s="13" t="s">
        <v>487</v>
      </c>
      <c r="D407" s="13" t="s">
        <v>488</v>
      </c>
      <c r="E407" s="13" t="s">
        <v>497</v>
      </c>
      <c r="F407" s="13" t="s">
        <v>20</v>
      </c>
      <c r="G407" s="13" t="s">
        <v>343</v>
      </c>
      <c r="H407" s="13" t="s">
        <v>337</v>
      </c>
    </row>
    <row r="408">
      <c r="A408" s="11">
        <v>47.0</v>
      </c>
      <c r="B408" s="12" t="s">
        <v>511</v>
      </c>
      <c r="C408" s="13" t="s">
        <v>487</v>
      </c>
      <c r="D408" s="13" t="s">
        <v>488</v>
      </c>
      <c r="E408" s="13" t="s">
        <v>497</v>
      </c>
      <c r="F408" s="13" t="s">
        <v>20</v>
      </c>
      <c r="G408" s="13" t="s">
        <v>343</v>
      </c>
      <c r="H408" s="13" t="s">
        <v>337</v>
      </c>
    </row>
    <row r="409">
      <c r="A409" s="11">
        <v>48.0</v>
      </c>
      <c r="B409" s="12" t="s">
        <v>512</v>
      </c>
      <c r="C409" s="13" t="s">
        <v>487</v>
      </c>
      <c r="D409" s="13" t="s">
        <v>488</v>
      </c>
      <c r="E409" s="13" t="s">
        <v>497</v>
      </c>
      <c r="F409" s="13" t="s">
        <v>20</v>
      </c>
      <c r="G409" s="13" t="s">
        <v>343</v>
      </c>
      <c r="H409" s="13" t="s">
        <v>337</v>
      </c>
    </row>
    <row r="410">
      <c r="A410" s="11">
        <v>49.0</v>
      </c>
      <c r="B410" s="12" t="s">
        <v>513</v>
      </c>
      <c r="C410" s="13" t="s">
        <v>487</v>
      </c>
      <c r="D410" s="13" t="s">
        <v>497</v>
      </c>
      <c r="E410" s="13" t="s">
        <v>497</v>
      </c>
      <c r="F410" s="13" t="s">
        <v>20</v>
      </c>
      <c r="G410" s="13" t="s">
        <v>343</v>
      </c>
      <c r="H410" s="13" t="s">
        <v>337</v>
      </c>
    </row>
    <row r="411">
      <c r="A411" s="11">
        <v>50.0</v>
      </c>
      <c r="B411" s="12" t="s">
        <v>514</v>
      </c>
      <c r="C411" s="13" t="s">
        <v>487</v>
      </c>
      <c r="D411" s="13" t="s">
        <v>497</v>
      </c>
      <c r="E411" s="13" t="s">
        <v>497</v>
      </c>
      <c r="F411" s="13" t="s">
        <v>20</v>
      </c>
      <c r="G411" s="13" t="s">
        <v>343</v>
      </c>
      <c r="H411" s="13" t="s">
        <v>337</v>
      </c>
    </row>
    <row r="412">
      <c r="A412" s="11">
        <v>51.0</v>
      </c>
      <c r="B412" s="12" t="s">
        <v>515</v>
      </c>
      <c r="C412" s="13" t="s">
        <v>487</v>
      </c>
      <c r="D412" s="13" t="s">
        <v>497</v>
      </c>
      <c r="E412" s="13" t="s">
        <v>497</v>
      </c>
      <c r="F412" s="13" t="s">
        <v>20</v>
      </c>
      <c r="G412" s="13" t="s">
        <v>343</v>
      </c>
      <c r="H412" s="13" t="s">
        <v>337</v>
      </c>
    </row>
    <row r="413">
      <c r="A413" s="11">
        <v>52.0</v>
      </c>
      <c r="B413" s="12" t="s">
        <v>516</v>
      </c>
      <c r="C413" s="13" t="s">
        <v>487</v>
      </c>
      <c r="D413" s="13" t="s">
        <v>497</v>
      </c>
      <c r="E413" s="13" t="s">
        <v>497</v>
      </c>
      <c r="F413" s="13" t="s">
        <v>20</v>
      </c>
      <c r="G413" s="13" t="s">
        <v>343</v>
      </c>
      <c r="H413" s="13" t="s">
        <v>337</v>
      </c>
    </row>
    <row r="414">
      <c r="A414" s="11">
        <v>53.0</v>
      </c>
      <c r="B414" s="12" t="s">
        <v>517</v>
      </c>
      <c r="C414" s="13" t="s">
        <v>487</v>
      </c>
      <c r="D414" s="13" t="s">
        <v>497</v>
      </c>
      <c r="E414" s="13" t="s">
        <v>497</v>
      </c>
      <c r="F414" s="13" t="s">
        <v>20</v>
      </c>
      <c r="G414" s="13" t="s">
        <v>343</v>
      </c>
      <c r="H414" s="13" t="s">
        <v>337</v>
      </c>
    </row>
    <row r="415">
      <c r="A415" s="11">
        <v>54.0</v>
      </c>
      <c r="B415" s="12" t="s">
        <v>518</v>
      </c>
      <c r="C415" s="13" t="s">
        <v>487</v>
      </c>
      <c r="D415" s="13" t="s">
        <v>497</v>
      </c>
      <c r="E415" s="13" t="s">
        <v>497</v>
      </c>
      <c r="F415" s="13" t="s">
        <v>20</v>
      </c>
      <c r="G415" s="13" t="s">
        <v>343</v>
      </c>
      <c r="H415" s="13" t="s">
        <v>337</v>
      </c>
    </row>
    <row r="416">
      <c r="A416" s="11">
        <v>55.0</v>
      </c>
      <c r="B416" s="12" t="s">
        <v>519</v>
      </c>
      <c r="C416" s="13" t="s">
        <v>487</v>
      </c>
      <c r="D416" s="13" t="s">
        <v>497</v>
      </c>
      <c r="E416" s="13" t="s">
        <v>497</v>
      </c>
      <c r="F416" s="13" t="s">
        <v>20</v>
      </c>
      <c r="G416" s="13" t="s">
        <v>343</v>
      </c>
      <c r="H416" s="13" t="s">
        <v>337</v>
      </c>
    </row>
    <row r="417">
      <c r="A417" s="11">
        <v>56.0</v>
      </c>
      <c r="B417" s="12" t="s">
        <v>520</v>
      </c>
      <c r="C417" s="13" t="s">
        <v>487</v>
      </c>
      <c r="D417" s="13" t="s">
        <v>497</v>
      </c>
      <c r="E417" s="13" t="s">
        <v>497</v>
      </c>
      <c r="F417" s="13" t="s">
        <v>20</v>
      </c>
      <c r="G417" s="13" t="s">
        <v>343</v>
      </c>
      <c r="H417" s="13" t="s">
        <v>337</v>
      </c>
    </row>
    <row r="418">
      <c r="A418" s="11">
        <v>57.0</v>
      </c>
      <c r="B418" s="12" t="s">
        <v>521</v>
      </c>
      <c r="C418" s="13" t="s">
        <v>487</v>
      </c>
      <c r="D418" s="13" t="s">
        <v>497</v>
      </c>
      <c r="E418" s="13" t="s">
        <v>497</v>
      </c>
      <c r="F418" s="13" t="s">
        <v>26</v>
      </c>
      <c r="G418" s="13" t="s">
        <v>343</v>
      </c>
      <c r="H418" s="13" t="s">
        <v>337</v>
      </c>
    </row>
    <row r="419">
      <c r="A419" s="11">
        <v>58.0</v>
      </c>
      <c r="B419" s="12" t="s">
        <v>522</v>
      </c>
      <c r="C419" s="13" t="s">
        <v>487</v>
      </c>
      <c r="D419" s="13" t="s">
        <v>497</v>
      </c>
      <c r="E419" s="13" t="s">
        <v>497</v>
      </c>
      <c r="F419" s="13" t="s">
        <v>26</v>
      </c>
      <c r="G419" s="13" t="s">
        <v>343</v>
      </c>
      <c r="H419" s="13" t="s">
        <v>337</v>
      </c>
    </row>
    <row r="420">
      <c r="A420" s="11">
        <v>59.0</v>
      </c>
      <c r="B420" s="12" t="s">
        <v>523</v>
      </c>
      <c r="C420" s="13" t="s">
        <v>487</v>
      </c>
      <c r="D420" s="13" t="s">
        <v>497</v>
      </c>
      <c r="E420" s="13" t="s">
        <v>497</v>
      </c>
      <c r="F420" s="13" t="s">
        <v>26</v>
      </c>
      <c r="G420" s="13" t="s">
        <v>343</v>
      </c>
      <c r="H420" s="13" t="s">
        <v>337</v>
      </c>
    </row>
    <row r="421">
      <c r="A421" s="11">
        <v>60.0</v>
      </c>
      <c r="B421" s="12" t="s">
        <v>524</v>
      </c>
      <c r="C421" s="13" t="s">
        <v>487</v>
      </c>
      <c r="D421" s="13" t="s">
        <v>497</v>
      </c>
      <c r="E421" s="13" t="s">
        <v>497</v>
      </c>
      <c r="F421" s="13" t="s">
        <v>26</v>
      </c>
      <c r="G421" s="13" t="s">
        <v>343</v>
      </c>
      <c r="H421" s="13" t="s">
        <v>337</v>
      </c>
    </row>
    <row r="422">
      <c r="A422" s="11">
        <v>61.0</v>
      </c>
      <c r="B422" s="12" t="s">
        <v>525</v>
      </c>
      <c r="C422" s="13" t="s">
        <v>487</v>
      </c>
      <c r="D422" s="13" t="s">
        <v>497</v>
      </c>
      <c r="E422" s="13" t="s">
        <v>497</v>
      </c>
      <c r="F422" s="13" t="s">
        <v>26</v>
      </c>
      <c r="G422" s="13" t="s">
        <v>343</v>
      </c>
      <c r="H422" s="13" t="s">
        <v>337</v>
      </c>
    </row>
    <row r="423">
      <c r="A423" s="11">
        <v>62.0</v>
      </c>
      <c r="B423" s="12" t="s">
        <v>526</v>
      </c>
      <c r="C423" s="13" t="s">
        <v>487</v>
      </c>
      <c r="D423" s="13" t="s">
        <v>497</v>
      </c>
      <c r="E423" s="13" t="s">
        <v>497</v>
      </c>
      <c r="F423" s="13" t="s">
        <v>26</v>
      </c>
      <c r="G423" s="13" t="s">
        <v>343</v>
      </c>
      <c r="H423" s="13" t="s">
        <v>337</v>
      </c>
    </row>
    <row r="424">
      <c r="A424" s="11">
        <v>63.0</v>
      </c>
      <c r="B424" s="12" t="s">
        <v>527</v>
      </c>
      <c r="C424" s="13" t="s">
        <v>487</v>
      </c>
      <c r="D424" s="13" t="s">
        <v>497</v>
      </c>
      <c r="E424" s="13" t="s">
        <v>497</v>
      </c>
      <c r="F424" s="13" t="s">
        <v>26</v>
      </c>
      <c r="G424" s="13" t="s">
        <v>343</v>
      </c>
      <c r="H424" s="13" t="s">
        <v>337</v>
      </c>
    </row>
    <row r="425">
      <c r="A425" s="11">
        <v>64.0</v>
      </c>
      <c r="B425" s="12" t="s">
        <v>528</v>
      </c>
      <c r="C425" s="13" t="s">
        <v>487</v>
      </c>
      <c r="D425" s="13" t="s">
        <v>497</v>
      </c>
      <c r="E425" s="13" t="s">
        <v>497</v>
      </c>
      <c r="F425" s="13" t="s">
        <v>26</v>
      </c>
      <c r="G425" s="13" t="s">
        <v>343</v>
      </c>
      <c r="H425" s="13" t="s">
        <v>337</v>
      </c>
    </row>
    <row r="426">
      <c r="A426" s="11">
        <v>65.0</v>
      </c>
      <c r="B426" s="12" t="s">
        <v>529</v>
      </c>
      <c r="C426" s="13" t="s">
        <v>487</v>
      </c>
      <c r="D426" s="13" t="s">
        <v>488</v>
      </c>
      <c r="E426" s="13" t="s">
        <v>497</v>
      </c>
      <c r="F426" s="13" t="s">
        <v>26</v>
      </c>
      <c r="G426" s="13" t="s">
        <v>343</v>
      </c>
      <c r="H426" s="13" t="s">
        <v>337</v>
      </c>
    </row>
    <row r="427">
      <c r="A427" s="11">
        <v>66.0</v>
      </c>
      <c r="B427" s="12" t="s">
        <v>530</v>
      </c>
      <c r="C427" s="13" t="s">
        <v>487</v>
      </c>
      <c r="D427" s="13" t="s">
        <v>488</v>
      </c>
      <c r="E427" s="13" t="s">
        <v>497</v>
      </c>
      <c r="F427" s="13" t="s">
        <v>26</v>
      </c>
      <c r="G427" s="13" t="s">
        <v>343</v>
      </c>
      <c r="H427" s="13" t="s">
        <v>337</v>
      </c>
    </row>
    <row r="428">
      <c r="A428" s="11">
        <v>67.0</v>
      </c>
      <c r="B428" s="12" t="s">
        <v>531</v>
      </c>
      <c r="C428" s="13" t="s">
        <v>487</v>
      </c>
      <c r="D428" s="13" t="s">
        <v>488</v>
      </c>
      <c r="E428" s="13" t="s">
        <v>497</v>
      </c>
      <c r="F428" s="13" t="s">
        <v>26</v>
      </c>
      <c r="G428" s="13" t="s">
        <v>343</v>
      </c>
      <c r="H428" s="13" t="s">
        <v>337</v>
      </c>
    </row>
    <row r="429">
      <c r="A429" s="11">
        <v>68.0</v>
      </c>
      <c r="B429" s="12" t="s">
        <v>532</v>
      </c>
      <c r="C429" s="13" t="s">
        <v>487</v>
      </c>
      <c r="D429" s="13" t="s">
        <v>488</v>
      </c>
      <c r="E429" s="13" t="s">
        <v>497</v>
      </c>
      <c r="F429" s="13" t="s">
        <v>26</v>
      </c>
      <c r="G429" s="13" t="s">
        <v>343</v>
      </c>
      <c r="H429" s="13" t="s">
        <v>337</v>
      </c>
    </row>
    <row r="430">
      <c r="A430" s="11">
        <v>69.0</v>
      </c>
      <c r="B430" s="12" t="s">
        <v>533</v>
      </c>
      <c r="C430" s="13" t="s">
        <v>487</v>
      </c>
      <c r="D430" s="13" t="s">
        <v>488</v>
      </c>
      <c r="E430" s="13" t="s">
        <v>497</v>
      </c>
      <c r="F430" s="13" t="s">
        <v>26</v>
      </c>
      <c r="G430" s="13" t="s">
        <v>343</v>
      </c>
      <c r="H430" s="13" t="s">
        <v>337</v>
      </c>
    </row>
    <row r="431">
      <c r="A431" s="11">
        <v>70.0</v>
      </c>
      <c r="B431" s="12" t="s">
        <v>534</v>
      </c>
      <c r="C431" s="13" t="s">
        <v>487</v>
      </c>
      <c r="D431" s="13" t="s">
        <v>488</v>
      </c>
      <c r="E431" s="13" t="s">
        <v>497</v>
      </c>
      <c r="F431" s="13" t="s">
        <v>26</v>
      </c>
      <c r="G431" s="13" t="s">
        <v>343</v>
      </c>
      <c r="H431" s="13" t="s">
        <v>337</v>
      </c>
    </row>
    <row r="432">
      <c r="A432" s="11">
        <v>71.0</v>
      </c>
      <c r="B432" s="12" t="s">
        <v>535</v>
      </c>
      <c r="C432" s="13" t="s">
        <v>487</v>
      </c>
      <c r="D432" s="13" t="s">
        <v>488</v>
      </c>
      <c r="E432" s="13" t="s">
        <v>497</v>
      </c>
      <c r="F432" s="13" t="s">
        <v>26</v>
      </c>
      <c r="G432" s="13" t="s">
        <v>343</v>
      </c>
      <c r="H432" s="13" t="s">
        <v>337</v>
      </c>
    </row>
    <row r="433">
      <c r="A433" s="11">
        <v>72.0</v>
      </c>
      <c r="B433" s="12" t="s">
        <v>536</v>
      </c>
      <c r="C433" s="13" t="s">
        <v>487</v>
      </c>
      <c r="D433" s="13" t="s">
        <v>488</v>
      </c>
      <c r="E433" s="13" t="s">
        <v>497</v>
      </c>
      <c r="F433" s="13" t="s">
        <v>26</v>
      </c>
      <c r="G433" s="13" t="s">
        <v>343</v>
      </c>
      <c r="H433" s="13" t="s">
        <v>337</v>
      </c>
    </row>
    <row r="434">
      <c r="A434" s="11">
        <v>25.0</v>
      </c>
      <c r="B434" s="12" t="s">
        <v>486</v>
      </c>
      <c r="C434" s="13" t="s">
        <v>487</v>
      </c>
      <c r="D434" s="13" t="s">
        <v>488</v>
      </c>
      <c r="E434" s="13" t="s">
        <v>488</v>
      </c>
      <c r="F434" s="13" t="s">
        <v>20</v>
      </c>
      <c r="G434" s="13" t="s">
        <v>345</v>
      </c>
      <c r="H434" s="13" t="s">
        <v>337</v>
      </c>
    </row>
    <row r="435">
      <c r="A435" s="11">
        <v>26.0</v>
      </c>
      <c r="B435" s="12" t="s">
        <v>489</v>
      </c>
      <c r="C435" s="13" t="s">
        <v>487</v>
      </c>
      <c r="D435" s="13" t="s">
        <v>488</v>
      </c>
      <c r="E435" s="13" t="s">
        <v>488</v>
      </c>
      <c r="F435" s="13" t="s">
        <v>20</v>
      </c>
      <c r="G435" s="13" t="s">
        <v>345</v>
      </c>
      <c r="H435" s="13" t="s">
        <v>337</v>
      </c>
    </row>
    <row r="436">
      <c r="A436" s="11">
        <v>27.0</v>
      </c>
      <c r="B436" s="12" t="s">
        <v>490</v>
      </c>
      <c r="C436" s="13" t="s">
        <v>487</v>
      </c>
      <c r="D436" s="13" t="s">
        <v>488</v>
      </c>
      <c r="E436" s="13" t="s">
        <v>488</v>
      </c>
      <c r="F436" s="13" t="s">
        <v>20</v>
      </c>
      <c r="G436" s="13" t="s">
        <v>345</v>
      </c>
      <c r="H436" s="13" t="s">
        <v>337</v>
      </c>
    </row>
    <row r="437">
      <c r="A437" s="11">
        <v>28.0</v>
      </c>
      <c r="B437" s="12" t="s">
        <v>491</v>
      </c>
      <c r="C437" s="13" t="s">
        <v>487</v>
      </c>
      <c r="D437" s="13" t="s">
        <v>488</v>
      </c>
      <c r="E437" s="13" t="s">
        <v>488</v>
      </c>
      <c r="F437" s="13" t="s">
        <v>20</v>
      </c>
      <c r="G437" s="13" t="s">
        <v>345</v>
      </c>
      <c r="H437" s="13" t="s">
        <v>337</v>
      </c>
    </row>
    <row r="438">
      <c r="A438" s="11">
        <v>29.0</v>
      </c>
      <c r="B438" s="12" t="s">
        <v>492</v>
      </c>
      <c r="C438" s="13" t="s">
        <v>487</v>
      </c>
      <c r="D438" s="13" t="s">
        <v>488</v>
      </c>
      <c r="E438" s="13" t="s">
        <v>488</v>
      </c>
      <c r="F438" s="13" t="s">
        <v>20</v>
      </c>
      <c r="G438" s="13" t="s">
        <v>345</v>
      </c>
      <c r="H438" s="13" t="s">
        <v>337</v>
      </c>
    </row>
    <row r="439">
      <c r="A439" s="11">
        <v>30.0</v>
      </c>
      <c r="B439" s="12" t="s">
        <v>493</v>
      </c>
      <c r="C439" s="13" t="s">
        <v>487</v>
      </c>
      <c r="D439" s="13" t="s">
        <v>488</v>
      </c>
      <c r="E439" s="13" t="s">
        <v>488</v>
      </c>
      <c r="F439" s="13" t="s">
        <v>20</v>
      </c>
      <c r="G439" s="13" t="s">
        <v>345</v>
      </c>
      <c r="H439" s="13" t="s">
        <v>337</v>
      </c>
    </row>
    <row r="440">
      <c r="A440" s="11">
        <v>31.0</v>
      </c>
      <c r="B440" s="12" t="s">
        <v>494</v>
      </c>
      <c r="C440" s="13" t="s">
        <v>487</v>
      </c>
      <c r="D440" s="13" t="s">
        <v>488</v>
      </c>
      <c r="E440" s="13" t="s">
        <v>488</v>
      </c>
      <c r="F440" s="13" t="s">
        <v>20</v>
      </c>
      <c r="G440" s="13" t="s">
        <v>345</v>
      </c>
      <c r="H440" s="13" t="s">
        <v>337</v>
      </c>
    </row>
    <row r="441">
      <c r="A441" s="11">
        <v>32.0</v>
      </c>
      <c r="B441" s="12" t="s">
        <v>495</v>
      </c>
      <c r="C441" s="13" t="s">
        <v>487</v>
      </c>
      <c r="D441" s="13" t="s">
        <v>488</v>
      </c>
      <c r="E441" s="13" t="s">
        <v>488</v>
      </c>
      <c r="F441" s="13" t="s">
        <v>20</v>
      </c>
      <c r="G441" s="13" t="s">
        <v>345</v>
      </c>
      <c r="H441" s="13" t="s">
        <v>337</v>
      </c>
    </row>
    <row r="442">
      <c r="A442" s="11">
        <v>33.0</v>
      </c>
      <c r="B442" s="13" t="s">
        <v>496</v>
      </c>
      <c r="C442" s="13" t="s">
        <v>487</v>
      </c>
      <c r="D442" s="13" t="s">
        <v>497</v>
      </c>
      <c r="E442" s="13" t="s">
        <v>497</v>
      </c>
      <c r="F442" s="13" t="s">
        <v>20</v>
      </c>
      <c r="G442" s="13" t="s">
        <v>345</v>
      </c>
      <c r="H442" s="13" t="s">
        <v>337</v>
      </c>
    </row>
    <row r="443">
      <c r="A443" s="11">
        <v>34.0</v>
      </c>
      <c r="B443" s="13" t="s">
        <v>498</v>
      </c>
      <c r="C443" s="13" t="s">
        <v>487</v>
      </c>
      <c r="D443" s="13" t="s">
        <v>497</v>
      </c>
      <c r="E443" s="13" t="s">
        <v>497</v>
      </c>
      <c r="F443" s="13" t="s">
        <v>20</v>
      </c>
      <c r="G443" s="13" t="s">
        <v>345</v>
      </c>
      <c r="H443" s="13" t="s">
        <v>337</v>
      </c>
    </row>
    <row r="444">
      <c r="A444" s="11">
        <v>35.0</v>
      </c>
      <c r="B444" s="13" t="s">
        <v>499</v>
      </c>
      <c r="C444" s="13" t="s">
        <v>487</v>
      </c>
      <c r="D444" s="13" t="s">
        <v>497</v>
      </c>
      <c r="E444" s="13" t="s">
        <v>497</v>
      </c>
      <c r="F444" s="13" t="s">
        <v>20</v>
      </c>
      <c r="G444" s="13" t="s">
        <v>345</v>
      </c>
      <c r="H444" s="13" t="s">
        <v>337</v>
      </c>
    </row>
    <row r="445">
      <c r="A445" s="11">
        <v>36.0</v>
      </c>
      <c r="B445" s="13" t="s">
        <v>500</v>
      </c>
      <c r="C445" s="13" t="s">
        <v>487</v>
      </c>
      <c r="D445" s="13" t="s">
        <v>497</v>
      </c>
      <c r="E445" s="13" t="s">
        <v>497</v>
      </c>
      <c r="F445" s="13" t="s">
        <v>20</v>
      </c>
      <c r="G445" s="13" t="s">
        <v>345</v>
      </c>
      <c r="H445" s="13" t="s">
        <v>337</v>
      </c>
    </row>
    <row r="446">
      <c r="A446" s="11">
        <v>37.0</v>
      </c>
      <c r="B446" s="13" t="s">
        <v>501</v>
      </c>
      <c r="C446" s="13" t="s">
        <v>487</v>
      </c>
      <c r="D446" s="13" t="s">
        <v>497</v>
      </c>
      <c r="E446" s="13" t="s">
        <v>497</v>
      </c>
      <c r="F446" s="13" t="s">
        <v>20</v>
      </c>
      <c r="G446" s="13" t="s">
        <v>345</v>
      </c>
      <c r="H446" s="13" t="s">
        <v>337</v>
      </c>
    </row>
    <row r="447">
      <c r="A447" s="11">
        <v>38.0</v>
      </c>
      <c r="B447" s="12" t="s">
        <v>502</v>
      </c>
      <c r="C447" s="13" t="s">
        <v>487</v>
      </c>
      <c r="D447" s="13" t="s">
        <v>497</v>
      </c>
      <c r="E447" s="13" t="s">
        <v>497</v>
      </c>
      <c r="F447" s="13" t="s">
        <v>20</v>
      </c>
      <c r="G447" s="13" t="s">
        <v>345</v>
      </c>
      <c r="H447" s="13" t="s">
        <v>337</v>
      </c>
    </row>
    <row r="448">
      <c r="A448" s="11">
        <v>39.0</v>
      </c>
      <c r="B448" s="12" t="s">
        <v>503</v>
      </c>
      <c r="C448" s="13" t="s">
        <v>487</v>
      </c>
      <c r="D448" s="13" t="s">
        <v>497</v>
      </c>
      <c r="E448" s="13" t="s">
        <v>497</v>
      </c>
      <c r="F448" s="13" t="s">
        <v>20</v>
      </c>
      <c r="G448" s="13" t="s">
        <v>345</v>
      </c>
      <c r="H448" s="13" t="s">
        <v>337</v>
      </c>
    </row>
    <row r="449">
      <c r="A449" s="11">
        <v>40.0</v>
      </c>
      <c r="B449" s="12" t="s">
        <v>504</v>
      </c>
      <c r="C449" s="13" t="s">
        <v>487</v>
      </c>
      <c r="D449" s="13" t="s">
        <v>497</v>
      </c>
      <c r="E449" s="13" t="s">
        <v>497</v>
      </c>
      <c r="F449" s="13" t="s">
        <v>20</v>
      </c>
      <c r="G449" s="13" t="s">
        <v>345</v>
      </c>
      <c r="H449" s="13" t="s">
        <v>337</v>
      </c>
    </row>
    <row r="450">
      <c r="A450" s="11">
        <v>41.0</v>
      </c>
      <c r="B450" s="12" t="s">
        <v>505</v>
      </c>
      <c r="C450" s="13" t="s">
        <v>487</v>
      </c>
      <c r="D450" s="13" t="s">
        <v>488</v>
      </c>
      <c r="E450" s="13" t="s">
        <v>497</v>
      </c>
      <c r="F450" s="13" t="s">
        <v>20</v>
      </c>
      <c r="G450" s="13" t="s">
        <v>345</v>
      </c>
      <c r="H450" s="13" t="s">
        <v>337</v>
      </c>
    </row>
    <row r="451">
      <c r="A451" s="11">
        <v>42.0</v>
      </c>
      <c r="B451" s="12" t="s">
        <v>506</v>
      </c>
      <c r="C451" s="13" t="s">
        <v>487</v>
      </c>
      <c r="D451" s="13" t="s">
        <v>488</v>
      </c>
      <c r="E451" s="13" t="s">
        <v>497</v>
      </c>
      <c r="F451" s="13" t="s">
        <v>20</v>
      </c>
      <c r="G451" s="13" t="s">
        <v>345</v>
      </c>
      <c r="H451" s="13" t="s">
        <v>337</v>
      </c>
    </row>
    <row r="452">
      <c r="A452" s="11">
        <v>43.0</v>
      </c>
      <c r="B452" s="12" t="s">
        <v>507</v>
      </c>
      <c r="C452" s="13" t="s">
        <v>487</v>
      </c>
      <c r="D452" s="13" t="s">
        <v>488</v>
      </c>
      <c r="E452" s="13" t="s">
        <v>497</v>
      </c>
      <c r="F452" s="13" t="s">
        <v>20</v>
      </c>
      <c r="G452" s="13" t="s">
        <v>345</v>
      </c>
      <c r="H452" s="13" t="s">
        <v>337</v>
      </c>
    </row>
    <row r="453">
      <c r="A453" s="11">
        <v>44.0</v>
      </c>
      <c r="B453" s="12" t="s">
        <v>508</v>
      </c>
      <c r="C453" s="13" t="s">
        <v>487</v>
      </c>
      <c r="D453" s="13" t="s">
        <v>488</v>
      </c>
      <c r="E453" s="13" t="s">
        <v>497</v>
      </c>
      <c r="F453" s="13" t="s">
        <v>20</v>
      </c>
      <c r="G453" s="13" t="s">
        <v>345</v>
      </c>
      <c r="H453" s="13" t="s">
        <v>337</v>
      </c>
    </row>
    <row r="454">
      <c r="A454" s="11">
        <v>45.0</v>
      </c>
      <c r="B454" s="12" t="s">
        <v>509</v>
      </c>
      <c r="C454" s="13" t="s">
        <v>487</v>
      </c>
      <c r="D454" s="13" t="s">
        <v>488</v>
      </c>
      <c r="E454" s="13" t="s">
        <v>497</v>
      </c>
      <c r="F454" s="13" t="s">
        <v>20</v>
      </c>
      <c r="G454" s="13" t="s">
        <v>345</v>
      </c>
      <c r="H454" s="13" t="s">
        <v>337</v>
      </c>
    </row>
    <row r="455">
      <c r="A455" s="11">
        <v>46.0</v>
      </c>
      <c r="B455" s="12" t="s">
        <v>510</v>
      </c>
      <c r="C455" s="13" t="s">
        <v>487</v>
      </c>
      <c r="D455" s="13" t="s">
        <v>488</v>
      </c>
      <c r="E455" s="13" t="s">
        <v>497</v>
      </c>
      <c r="F455" s="13" t="s">
        <v>20</v>
      </c>
      <c r="G455" s="13" t="s">
        <v>345</v>
      </c>
      <c r="H455" s="13" t="s">
        <v>337</v>
      </c>
    </row>
    <row r="456">
      <c r="A456" s="11">
        <v>47.0</v>
      </c>
      <c r="B456" s="12" t="s">
        <v>511</v>
      </c>
      <c r="C456" s="13" t="s">
        <v>487</v>
      </c>
      <c r="D456" s="13" t="s">
        <v>488</v>
      </c>
      <c r="E456" s="13" t="s">
        <v>497</v>
      </c>
      <c r="F456" s="13" t="s">
        <v>20</v>
      </c>
      <c r="G456" s="13" t="s">
        <v>345</v>
      </c>
      <c r="H456" s="13" t="s">
        <v>337</v>
      </c>
    </row>
    <row r="457">
      <c r="A457" s="11">
        <v>48.0</v>
      </c>
      <c r="B457" s="12" t="s">
        <v>512</v>
      </c>
      <c r="C457" s="13" t="s">
        <v>487</v>
      </c>
      <c r="D457" s="13" t="s">
        <v>488</v>
      </c>
      <c r="E457" s="13" t="s">
        <v>497</v>
      </c>
      <c r="F457" s="13" t="s">
        <v>20</v>
      </c>
      <c r="G457" s="13" t="s">
        <v>345</v>
      </c>
      <c r="H457" s="13" t="s">
        <v>337</v>
      </c>
    </row>
    <row r="458">
      <c r="A458" s="11">
        <v>49.0</v>
      </c>
      <c r="B458" s="12" t="s">
        <v>513</v>
      </c>
      <c r="C458" s="13" t="s">
        <v>487</v>
      </c>
      <c r="D458" s="13" t="s">
        <v>497</v>
      </c>
      <c r="E458" s="13" t="s">
        <v>497</v>
      </c>
      <c r="F458" s="13" t="s">
        <v>20</v>
      </c>
      <c r="G458" s="13" t="s">
        <v>345</v>
      </c>
      <c r="H458" s="13" t="s">
        <v>337</v>
      </c>
    </row>
    <row r="459">
      <c r="A459" s="11">
        <v>50.0</v>
      </c>
      <c r="B459" s="12" t="s">
        <v>514</v>
      </c>
      <c r="C459" s="13" t="s">
        <v>487</v>
      </c>
      <c r="D459" s="13" t="s">
        <v>497</v>
      </c>
      <c r="E459" s="13" t="s">
        <v>497</v>
      </c>
      <c r="F459" s="13" t="s">
        <v>20</v>
      </c>
      <c r="G459" s="13" t="s">
        <v>345</v>
      </c>
      <c r="H459" s="13" t="s">
        <v>337</v>
      </c>
    </row>
    <row r="460">
      <c r="A460" s="11">
        <v>51.0</v>
      </c>
      <c r="B460" s="12" t="s">
        <v>515</v>
      </c>
      <c r="C460" s="13" t="s">
        <v>487</v>
      </c>
      <c r="D460" s="13" t="s">
        <v>497</v>
      </c>
      <c r="E460" s="13" t="s">
        <v>497</v>
      </c>
      <c r="F460" s="13" t="s">
        <v>20</v>
      </c>
      <c r="G460" s="13" t="s">
        <v>345</v>
      </c>
      <c r="H460" s="13" t="s">
        <v>337</v>
      </c>
    </row>
    <row r="461">
      <c r="A461" s="11">
        <v>52.0</v>
      </c>
      <c r="B461" s="12" t="s">
        <v>516</v>
      </c>
      <c r="C461" s="13" t="s">
        <v>487</v>
      </c>
      <c r="D461" s="13" t="s">
        <v>497</v>
      </c>
      <c r="E461" s="13" t="s">
        <v>497</v>
      </c>
      <c r="F461" s="13" t="s">
        <v>20</v>
      </c>
      <c r="G461" s="13" t="s">
        <v>345</v>
      </c>
      <c r="H461" s="13" t="s">
        <v>337</v>
      </c>
    </row>
    <row r="462">
      <c r="A462" s="11">
        <v>53.0</v>
      </c>
      <c r="B462" s="12" t="s">
        <v>517</v>
      </c>
      <c r="C462" s="13" t="s">
        <v>487</v>
      </c>
      <c r="D462" s="13" t="s">
        <v>497</v>
      </c>
      <c r="E462" s="13" t="s">
        <v>497</v>
      </c>
      <c r="F462" s="13" t="s">
        <v>20</v>
      </c>
      <c r="G462" s="13" t="s">
        <v>345</v>
      </c>
      <c r="H462" s="13" t="s">
        <v>337</v>
      </c>
    </row>
    <row r="463">
      <c r="A463" s="11">
        <v>54.0</v>
      </c>
      <c r="B463" s="12" t="s">
        <v>518</v>
      </c>
      <c r="C463" s="13" t="s">
        <v>487</v>
      </c>
      <c r="D463" s="13" t="s">
        <v>497</v>
      </c>
      <c r="E463" s="13" t="s">
        <v>497</v>
      </c>
      <c r="F463" s="13" t="s">
        <v>20</v>
      </c>
      <c r="G463" s="13" t="s">
        <v>345</v>
      </c>
      <c r="H463" s="13" t="s">
        <v>337</v>
      </c>
    </row>
    <row r="464">
      <c r="A464" s="11">
        <v>55.0</v>
      </c>
      <c r="B464" s="12" t="s">
        <v>519</v>
      </c>
      <c r="C464" s="13" t="s">
        <v>487</v>
      </c>
      <c r="D464" s="13" t="s">
        <v>497</v>
      </c>
      <c r="E464" s="13" t="s">
        <v>497</v>
      </c>
      <c r="F464" s="13" t="s">
        <v>20</v>
      </c>
      <c r="G464" s="13" t="s">
        <v>345</v>
      </c>
      <c r="H464" s="13" t="s">
        <v>337</v>
      </c>
    </row>
    <row r="465">
      <c r="A465" s="11">
        <v>56.0</v>
      </c>
      <c r="B465" s="12" t="s">
        <v>520</v>
      </c>
      <c r="C465" s="13" t="s">
        <v>487</v>
      </c>
      <c r="D465" s="13" t="s">
        <v>497</v>
      </c>
      <c r="E465" s="13" t="s">
        <v>497</v>
      </c>
      <c r="F465" s="13" t="s">
        <v>20</v>
      </c>
      <c r="G465" s="13" t="s">
        <v>345</v>
      </c>
      <c r="H465" s="13" t="s">
        <v>337</v>
      </c>
    </row>
    <row r="466">
      <c r="A466" s="11">
        <v>57.0</v>
      </c>
      <c r="B466" s="12" t="s">
        <v>521</v>
      </c>
      <c r="C466" s="13" t="s">
        <v>487</v>
      </c>
      <c r="D466" s="13" t="s">
        <v>497</v>
      </c>
      <c r="E466" s="13" t="s">
        <v>497</v>
      </c>
      <c r="F466" s="13" t="s">
        <v>26</v>
      </c>
      <c r="G466" s="13" t="s">
        <v>345</v>
      </c>
      <c r="H466" s="13" t="s">
        <v>337</v>
      </c>
    </row>
    <row r="467">
      <c r="A467" s="11">
        <v>58.0</v>
      </c>
      <c r="B467" s="12" t="s">
        <v>522</v>
      </c>
      <c r="C467" s="13" t="s">
        <v>487</v>
      </c>
      <c r="D467" s="13" t="s">
        <v>497</v>
      </c>
      <c r="E467" s="13" t="s">
        <v>497</v>
      </c>
      <c r="F467" s="13" t="s">
        <v>26</v>
      </c>
      <c r="G467" s="13" t="s">
        <v>345</v>
      </c>
      <c r="H467" s="13" t="s">
        <v>337</v>
      </c>
    </row>
    <row r="468">
      <c r="A468" s="11">
        <v>59.0</v>
      </c>
      <c r="B468" s="12" t="s">
        <v>523</v>
      </c>
      <c r="C468" s="13" t="s">
        <v>487</v>
      </c>
      <c r="D468" s="13" t="s">
        <v>497</v>
      </c>
      <c r="E468" s="13" t="s">
        <v>497</v>
      </c>
      <c r="F468" s="13" t="s">
        <v>26</v>
      </c>
      <c r="G468" s="13" t="s">
        <v>345</v>
      </c>
      <c r="H468" s="13" t="s">
        <v>337</v>
      </c>
    </row>
    <row r="469">
      <c r="A469" s="11">
        <v>60.0</v>
      </c>
      <c r="B469" s="12" t="s">
        <v>524</v>
      </c>
      <c r="C469" s="13" t="s">
        <v>487</v>
      </c>
      <c r="D469" s="13" t="s">
        <v>497</v>
      </c>
      <c r="E469" s="13" t="s">
        <v>497</v>
      </c>
      <c r="F469" s="13" t="s">
        <v>26</v>
      </c>
      <c r="G469" s="13" t="s">
        <v>345</v>
      </c>
      <c r="H469" s="13" t="s">
        <v>337</v>
      </c>
    </row>
    <row r="470">
      <c r="A470" s="11">
        <v>61.0</v>
      </c>
      <c r="B470" s="12" t="s">
        <v>525</v>
      </c>
      <c r="C470" s="13" t="s">
        <v>487</v>
      </c>
      <c r="D470" s="13" t="s">
        <v>497</v>
      </c>
      <c r="E470" s="13" t="s">
        <v>497</v>
      </c>
      <c r="F470" s="13" t="s">
        <v>26</v>
      </c>
      <c r="G470" s="13" t="s">
        <v>345</v>
      </c>
      <c r="H470" s="13" t="s">
        <v>337</v>
      </c>
    </row>
    <row r="471">
      <c r="A471" s="11">
        <v>62.0</v>
      </c>
      <c r="B471" s="12" t="s">
        <v>526</v>
      </c>
      <c r="C471" s="13" t="s">
        <v>487</v>
      </c>
      <c r="D471" s="13" t="s">
        <v>497</v>
      </c>
      <c r="E471" s="13" t="s">
        <v>497</v>
      </c>
      <c r="F471" s="13" t="s">
        <v>26</v>
      </c>
      <c r="G471" s="13" t="s">
        <v>345</v>
      </c>
      <c r="H471" s="13" t="s">
        <v>337</v>
      </c>
    </row>
    <row r="472">
      <c r="A472" s="11">
        <v>63.0</v>
      </c>
      <c r="B472" s="12" t="s">
        <v>527</v>
      </c>
      <c r="C472" s="13" t="s">
        <v>487</v>
      </c>
      <c r="D472" s="13" t="s">
        <v>497</v>
      </c>
      <c r="E472" s="13" t="s">
        <v>497</v>
      </c>
      <c r="F472" s="13" t="s">
        <v>26</v>
      </c>
      <c r="G472" s="13" t="s">
        <v>345</v>
      </c>
      <c r="H472" s="13" t="s">
        <v>337</v>
      </c>
    </row>
    <row r="473">
      <c r="A473" s="11">
        <v>64.0</v>
      </c>
      <c r="B473" s="12" t="s">
        <v>528</v>
      </c>
      <c r="C473" s="13" t="s">
        <v>487</v>
      </c>
      <c r="D473" s="13" t="s">
        <v>497</v>
      </c>
      <c r="E473" s="13" t="s">
        <v>497</v>
      </c>
      <c r="F473" s="13" t="s">
        <v>26</v>
      </c>
      <c r="G473" s="13" t="s">
        <v>345</v>
      </c>
      <c r="H473" s="13" t="s">
        <v>337</v>
      </c>
    </row>
    <row r="474">
      <c r="A474" s="11">
        <v>65.0</v>
      </c>
      <c r="B474" s="12" t="s">
        <v>529</v>
      </c>
      <c r="C474" s="13" t="s">
        <v>487</v>
      </c>
      <c r="D474" s="13" t="s">
        <v>488</v>
      </c>
      <c r="E474" s="13" t="s">
        <v>497</v>
      </c>
      <c r="F474" s="13" t="s">
        <v>26</v>
      </c>
      <c r="G474" s="13" t="s">
        <v>345</v>
      </c>
      <c r="H474" s="13" t="s">
        <v>337</v>
      </c>
    </row>
    <row r="475">
      <c r="A475" s="11">
        <v>66.0</v>
      </c>
      <c r="B475" s="12" t="s">
        <v>530</v>
      </c>
      <c r="C475" s="13" t="s">
        <v>487</v>
      </c>
      <c r="D475" s="13" t="s">
        <v>488</v>
      </c>
      <c r="E475" s="13" t="s">
        <v>497</v>
      </c>
      <c r="F475" s="13" t="s">
        <v>26</v>
      </c>
      <c r="G475" s="13" t="s">
        <v>345</v>
      </c>
      <c r="H475" s="13" t="s">
        <v>337</v>
      </c>
    </row>
    <row r="476">
      <c r="A476" s="11">
        <v>67.0</v>
      </c>
      <c r="B476" s="12" t="s">
        <v>531</v>
      </c>
      <c r="C476" s="13" t="s">
        <v>487</v>
      </c>
      <c r="D476" s="13" t="s">
        <v>488</v>
      </c>
      <c r="E476" s="13" t="s">
        <v>497</v>
      </c>
      <c r="F476" s="13" t="s">
        <v>26</v>
      </c>
      <c r="G476" s="13" t="s">
        <v>345</v>
      </c>
      <c r="H476" s="13" t="s">
        <v>337</v>
      </c>
    </row>
    <row r="477">
      <c r="A477" s="11">
        <v>68.0</v>
      </c>
      <c r="B477" s="12" t="s">
        <v>532</v>
      </c>
      <c r="C477" s="13" t="s">
        <v>487</v>
      </c>
      <c r="D477" s="13" t="s">
        <v>488</v>
      </c>
      <c r="E477" s="13" t="s">
        <v>497</v>
      </c>
      <c r="F477" s="13" t="s">
        <v>26</v>
      </c>
      <c r="G477" s="13" t="s">
        <v>345</v>
      </c>
      <c r="H477" s="13" t="s">
        <v>337</v>
      </c>
    </row>
    <row r="478">
      <c r="A478" s="11">
        <v>69.0</v>
      </c>
      <c r="B478" s="12" t="s">
        <v>533</v>
      </c>
      <c r="C478" s="13" t="s">
        <v>487</v>
      </c>
      <c r="D478" s="13" t="s">
        <v>488</v>
      </c>
      <c r="E478" s="13" t="s">
        <v>497</v>
      </c>
      <c r="F478" s="13" t="s">
        <v>26</v>
      </c>
      <c r="G478" s="13" t="s">
        <v>345</v>
      </c>
      <c r="H478" s="13" t="s">
        <v>337</v>
      </c>
    </row>
    <row r="479">
      <c r="A479" s="11">
        <v>70.0</v>
      </c>
      <c r="B479" s="12" t="s">
        <v>534</v>
      </c>
      <c r="C479" s="13" t="s">
        <v>487</v>
      </c>
      <c r="D479" s="13" t="s">
        <v>488</v>
      </c>
      <c r="E479" s="13" t="s">
        <v>497</v>
      </c>
      <c r="F479" s="13" t="s">
        <v>26</v>
      </c>
      <c r="G479" s="13" t="s">
        <v>345</v>
      </c>
      <c r="H479" s="13" t="s">
        <v>337</v>
      </c>
    </row>
    <row r="480">
      <c r="A480" s="11">
        <v>71.0</v>
      </c>
      <c r="B480" s="12" t="s">
        <v>535</v>
      </c>
      <c r="C480" s="13" t="s">
        <v>487</v>
      </c>
      <c r="D480" s="13" t="s">
        <v>488</v>
      </c>
      <c r="E480" s="13" t="s">
        <v>497</v>
      </c>
      <c r="F480" s="13" t="s">
        <v>26</v>
      </c>
      <c r="G480" s="13" t="s">
        <v>345</v>
      </c>
      <c r="H480" s="13" t="s">
        <v>337</v>
      </c>
    </row>
    <row r="481">
      <c r="A481" s="11">
        <v>72.0</v>
      </c>
      <c r="B481" s="12" t="s">
        <v>536</v>
      </c>
      <c r="C481" s="13" t="s">
        <v>487</v>
      </c>
      <c r="D481" s="13" t="s">
        <v>488</v>
      </c>
      <c r="E481" s="13" t="s">
        <v>497</v>
      </c>
      <c r="F481" s="13" t="s">
        <v>26</v>
      </c>
      <c r="G481" s="13" t="s">
        <v>345</v>
      </c>
      <c r="H481" s="13" t="s">
        <v>337</v>
      </c>
    </row>
    <row r="482">
      <c r="A482" s="11">
        <v>25.0</v>
      </c>
      <c r="B482" s="12" t="s">
        <v>486</v>
      </c>
      <c r="C482" s="13" t="s">
        <v>487</v>
      </c>
      <c r="D482" s="13" t="s">
        <v>488</v>
      </c>
      <c r="E482" s="13" t="s">
        <v>488</v>
      </c>
      <c r="F482" s="13" t="s">
        <v>20</v>
      </c>
      <c r="G482" s="13" t="s">
        <v>347</v>
      </c>
      <c r="H482" s="13" t="s">
        <v>337</v>
      </c>
    </row>
    <row r="483">
      <c r="A483" s="11">
        <v>26.0</v>
      </c>
      <c r="B483" s="12" t="s">
        <v>489</v>
      </c>
      <c r="C483" s="13" t="s">
        <v>487</v>
      </c>
      <c r="D483" s="13" t="s">
        <v>488</v>
      </c>
      <c r="E483" s="13" t="s">
        <v>488</v>
      </c>
      <c r="F483" s="13" t="s">
        <v>20</v>
      </c>
      <c r="G483" s="13" t="s">
        <v>347</v>
      </c>
      <c r="H483" s="13" t="s">
        <v>337</v>
      </c>
    </row>
    <row r="484">
      <c r="A484" s="11">
        <v>27.0</v>
      </c>
      <c r="B484" s="12" t="s">
        <v>490</v>
      </c>
      <c r="C484" s="13" t="s">
        <v>487</v>
      </c>
      <c r="D484" s="13" t="s">
        <v>488</v>
      </c>
      <c r="E484" s="13" t="s">
        <v>488</v>
      </c>
      <c r="F484" s="13" t="s">
        <v>20</v>
      </c>
      <c r="G484" s="13" t="s">
        <v>347</v>
      </c>
      <c r="H484" s="13" t="s">
        <v>337</v>
      </c>
    </row>
    <row r="485">
      <c r="A485" s="11">
        <v>28.0</v>
      </c>
      <c r="B485" s="12" t="s">
        <v>491</v>
      </c>
      <c r="C485" s="13" t="s">
        <v>487</v>
      </c>
      <c r="D485" s="13" t="s">
        <v>488</v>
      </c>
      <c r="E485" s="13" t="s">
        <v>488</v>
      </c>
      <c r="F485" s="13" t="s">
        <v>20</v>
      </c>
      <c r="G485" s="13" t="s">
        <v>347</v>
      </c>
      <c r="H485" s="13" t="s">
        <v>337</v>
      </c>
    </row>
    <row r="486">
      <c r="A486" s="11">
        <v>29.0</v>
      </c>
      <c r="B486" s="12" t="s">
        <v>492</v>
      </c>
      <c r="C486" s="13" t="s">
        <v>487</v>
      </c>
      <c r="D486" s="13" t="s">
        <v>488</v>
      </c>
      <c r="E486" s="13" t="s">
        <v>488</v>
      </c>
      <c r="F486" s="13" t="s">
        <v>20</v>
      </c>
      <c r="G486" s="13" t="s">
        <v>347</v>
      </c>
      <c r="H486" s="13" t="s">
        <v>337</v>
      </c>
    </row>
    <row r="487">
      <c r="A487" s="11">
        <v>30.0</v>
      </c>
      <c r="B487" s="12" t="s">
        <v>493</v>
      </c>
      <c r="C487" s="13" t="s">
        <v>487</v>
      </c>
      <c r="D487" s="13" t="s">
        <v>488</v>
      </c>
      <c r="E487" s="13" t="s">
        <v>488</v>
      </c>
      <c r="F487" s="13" t="s">
        <v>20</v>
      </c>
      <c r="G487" s="13" t="s">
        <v>347</v>
      </c>
      <c r="H487" s="13" t="s">
        <v>337</v>
      </c>
    </row>
    <row r="488">
      <c r="A488" s="11">
        <v>31.0</v>
      </c>
      <c r="B488" s="12" t="s">
        <v>494</v>
      </c>
      <c r="C488" s="13" t="s">
        <v>487</v>
      </c>
      <c r="D488" s="13" t="s">
        <v>488</v>
      </c>
      <c r="E488" s="13" t="s">
        <v>488</v>
      </c>
      <c r="F488" s="13" t="s">
        <v>20</v>
      </c>
      <c r="G488" s="13" t="s">
        <v>347</v>
      </c>
      <c r="H488" s="13" t="s">
        <v>337</v>
      </c>
    </row>
    <row r="489">
      <c r="A489" s="11">
        <v>32.0</v>
      </c>
      <c r="B489" s="12" t="s">
        <v>495</v>
      </c>
      <c r="C489" s="13" t="s">
        <v>487</v>
      </c>
      <c r="D489" s="13" t="s">
        <v>488</v>
      </c>
      <c r="E489" s="13" t="s">
        <v>488</v>
      </c>
      <c r="F489" s="13" t="s">
        <v>20</v>
      </c>
      <c r="G489" s="13" t="s">
        <v>347</v>
      </c>
      <c r="H489" s="13" t="s">
        <v>337</v>
      </c>
    </row>
    <row r="490">
      <c r="A490" s="11">
        <v>33.0</v>
      </c>
      <c r="B490" s="13" t="s">
        <v>496</v>
      </c>
      <c r="C490" s="13" t="s">
        <v>487</v>
      </c>
      <c r="D490" s="13" t="s">
        <v>497</v>
      </c>
      <c r="E490" s="13" t="s">
        <v>497</v>
      </c>
      <c r="F490" s="13" t="s">
        <v>20</v>
      </c>
      <c r="G490" s="13" t="s">
        <v>347</v>
      </c>
      <c r="H490" s="13" t="s">
        <v>337</v>
      </c>
    </row>
    <row r="491">
      <c r="A491" s="11">
        <v>34.0</v>
      </c>
      <c r="B491" s="13" t="s">
        <v>498</v>
      </c>
      <c r="C491" s="13" t="s">
        <v>487</v>
      </c>
      <c r="D491" s="13" t="s">
        <v>497</v>
      </c>
      <c r="E491" s="13" t="s">
        <v>497</v>
      </c>
      <c r="F491" s="13" t="s">
        <v>20</v>
      </c>
      <c r="G491" s="13" t="s">
        <v>347</v>
      </c>
      <c r="H491" s="13" t="s">
        <v>337</v>
      </c>
    </row>
    <row r="492">
      <c r="A492" s="11">
        <v>35.0</v>
      </c>
      <c r="B492" s="13" t="s">
        <v>499</v>
      </c>
      <c r="C492" s="13" t="s">
        <v>487</v>
      </c>
      <c r="D492" s="13" t="s">
        <v>497</v>
      </c>
      <c r="E492" s="13" t="s">
        <v>497</v>
      </c>
      <c r="F492" s="13" t="s">
        <v>20</v>
      </c>
      <c r="G492" s="13" t="s">
        <v>347</v>
      </c>
      <c r="H492" s="13" t="s">
        <v>337</v>
      </c>
    </row>
    <row r="493">
      <c r="A493" s="11">
        <v>36.0</v>
      </c>
      <c r="B493" s="13" t="s">
        <v>500</v>
      </c>
      <c r="C493" s="13" t="s">
        <v>487</v>
      </c>
      <c r="D493" s="13" t="s">
        <v>497</v>
      </c>
      <c r="E493" s="13" t="s">
        <v>497</v>
      </c>
      <c r="F493" s="13" t="s">
        <v>20</v>
      </c>
      <c r="G493" s="13" t="s">
        <v>347</v>
      </c>
      <c r="H493" s="13" t="s">
        <v>337</v>
      </c>
    </row>
    <row r="494">
      <c r="A494" s="11">
        <v>37.0</v>
      </c>
      <c r="B494" s="13" t="s">
        <v>501</v>
      </c>
      <c r="C494" s="13" t="s">
        <v>487</v>
      </c>
      <c r="D494" s="13" t="s">
        <v>497</v>
      </c>
      <c r="E494" s="13" t="s">
        <v>497</v>
      </c>
      <c r="F494" s="13" t="s">
        <v>20</v>
      </c>
      <c r="G494" s="13" t="s">
        <v>347</v>
      </c>
      <c r="H494" s="13" t="s">
        <v>337</v>
      </c>
    </row>
    <row r="495">
      <c r="A495" s="11">
        <v>38.0</v>
      </c>
      <c r="B495" s="12" t="s">
        <v>502</v>
      </c>
      <c r="C495" s="13" t="s">
        <v>487</v>
      </c>
      <c r="D495" s="13" t="s">
        <v>497</v>
      </c>
      <c r="E495" s="13" t="s">
        <v>497</v>
      </c>
      <c r="F495" s="13" t="s">
        <v>20</v>
      </c>
      <c r="G495" s="13" t="s">
        <v>347</v>
      </c>
      <c r="H495" s="13" t="s">
        <v>337</v>
      </c>
    </row>
    <row r="496">
      <c r="A496" s="11">
        <v>39.0</v>
      </c>
      <c r="B496" s="12" t="s">
        <v>503</v>
      </c>
      <c r="C496" s="13" t="s">
        <v>487</v>
      </c>
      <c r="D496" s="13" t="s">
        <v>497</v>
      </c>
      <c r="E496" s="13" t="s">
        <v>497</v>
      </c>
      <c r="F496" s="13" t="s">
        <v>20</v>
      </c>
      <c r="G496" s="13" t="s">
        <v>347</v>
      </c>
      <c r="H496" s="13" t="s">
        <v>337</v>
      </c>
    </row>
    <row r="497">
      <c r="A497" s="11">
        <v>40.0</v>
      </c>
      <c r="B497" s="12" t="s">
        <v>504</v>
      </c>
      <c r="C497" s="13" t="s">
        <v>487</v>
      </c>
      <c r="D497" s="13" t="s">
        <v>497</v>
      </c>
      <c r="E497" s="13" t="s">
        <v>497</v>
      </c>
      <c r="F497" s="13" t="s">
        <v>20</v>
      </c>
      <c r="G497" s="13" t="s">
        <v>347</v>
      </c>
      <c r="H497" s="13" t="s">
        <v>337</v>
      </c>
    </row>
    <row r="498">
      <c r="A498" s="11">
        <v>41.0</v>
      </c>
      <c r="B498" s="12" t="s">
        <v>505</v>
      </c>
      <c r="C498" s="13" t="s">
        <v>487</v>
      </c>
      <c r="D498" s="13" t="s">
        <v>488</v>
      </c>
      <c r="E498" s="13" t="s">
        <v>497</v>
      </c>
      <c r="F498" s="13" t="s">
        <v>20</v>
      </c>
      <c r="G498" s="13" t="s">
        <v>347</v>
      </c>
      <c r="H498" s="13" t="s">
        <v>337</v>
      </c>
    </row>
    <row r="499">
      <c r="A499" s="11">
        <v>42.0</v>
      </c>
      <c r="B499" s="12" t="s">
        <v>506</v>
      </c>
      <c r="C499" s="13" t="s">
        <v>487</v>
      </c>
      <c r="D499" s="13" t="s">
        <v>488</v>
      </c>
      <c r="E499" s="13" t="s">
        <v>497</v>
      </c>
      <c r="F499" s="13" t="s">
        <v>20</v>
      </c>
      <c r="G499" s="13" t="s">
        <v>347</v>
      </c>
      <c r="H499" s="13" t="s">
        <v>337</v>
      </c>
    </row>
    <row r="500">
      <c r="A500" s="11">
        <v>43.0</v>
      </c>
      <c r="B500" s="12" t="s">
        <v>507</v>
      </c>
      <c r="C500" s="13" t="s">
        <v>487</v>
      </c>
      <c r="D500" s="13" t="s">
        <v>488</v>
      </c>
      <c r="E500" s="13" t="s">
        <v>497</v>
      </c>
      <c r="F500" s="13" t="s">
        <v>20</v>
      </c>
      <c r="G500" s="13" t="s">
        <v>347</v>
      </c>
      <c r="H500" s="13" t="s">
        <v>337</v>
      </c>
    </row>
    <row r="501">
      <c r="A501" s="11">
        <v>44.0</v>
      </c>
      <c r="B501" s="12" t="s">
        <v>508</v>
      </c>
      <c r="C501" s="13" t="s">
        <v>487</v>
      </c>
      <c r="D501" s="13" t="s">
        <v>488</v>
      </c>
      <c r="E501" s="13" t="s">
        <v>497</v>
      </c>
      <c r="F501" s="13" t="s">
        <v>20</v>
      </c>
      <c r="G501" s="13" t="s">
        <v>347</v>
      </c>
      <c r="H501" s="13" t="s">
        <v>337</v>
      </c>
    </row>
    <row r="502">
      <c r="A502" s="11">
        <v>45.0</v>
      </c>
      <c r="B502" s="12" t="s">
        <v>509</v>
      </c>
      <c r="C502" s="13" t="s">
        <v>487</v>
      </c>
      <c r="D502" s="13" t="s">
        <v>488</v>
      </c>
      <c r="E502" s="13" t="s">
        <v>497</v>
      </c>
      <c r="F502" s="13" t="s">
        <v>20</v>
      </c>
      <c r="G502" s="13" t="s">
        <v>347</v>
      </c>
      <c r="H502" s="13" t="s">
        <v>337</v>
      </c>
    </row>
    <row r="503">
      <c r="A503" s="11">
        <v>46.0</v>
      </c>
      <c r="B503" s="12" t="s">
        <v>510</v>
      </c>
      <c r="C503" s="13" t="s">
        <v>487</v>
      </c>
      <c r="D503" s="13" t="s">
        <v>488</v>
      </c>
      <c r="E503" s="13" t="s">
        <v>497</v>
      </c>
      <c r="F503" s="13" t="s">
        <v>20</v>
      </c>
      <c r="G503" s="13" t="s">
        <v>347</v>
      </c>
      <c r="H503" s="13" t="s">
        <v>337</v>
      </c>
    </row>
    <row r="504">
      <c r="A504" s="11">
        <v>47.0</v>
      </c>
      <c r="B504" s="12" t="s">
        <v>511</v>
      </c>
      <c r="C504" s="13" t="s">
        <v>487</v>
      </c>
      <c r="D504" s="13" t="s">
        <v>488</v>
      </c>
      <c r="E504" s="13" t="s">
        <v>497</v>
      </c>
      <c r="F504" s="13" t="s">
        <v>20</v>
      </c>
      <c r="G504" s="13" t="s">
        <v>347</v>
      </c>
      <c r="H504" s="13" t="s">
        <v>337</v>
      </c>
    </row>
    <row r="505">
      <c r="A505" s="11">
        <v>48.0</v>
      </c>
      <c r="B505" s="12" t="s">
        <v>512</v>
      </c>
      <c r="C505" s="13" t="s">
        <v>487</v>
      </c>
      <c r="D505" s="13" t="s">
        <v>488</v>
      </c>
      <c r="E505" s="13" t="s">
        <v>497</v>
      </c>
      <c r="F505" s="13" t="s">
        <v>20</v>
      </c>
      <c r="G505" s="13" t="s">
        <v>347</v>
      </c>
      <c r="H505" s="13" t="s">
        <v>337</v>
      </c>
    </row>
    <row r="506">
      <c r="A506" s="11">
        <v>49.0</v>
      </c>
      <c r="B506" s="12" t="s">
        <v>513</v>
      </c>
      <c r="C506" s="13" t="s">
        <v>487</v>
      </c>
      <c r="D506" s="13" t="s">
        <v>497</v>
      </c>
      <c r="E506" s="13" t="s">
        <v>497</v>
      </c>
      <c r="F506" s="13" t="s">
        <v>20</v>
      </c>
      <c r="G506" s="13" t="s">
        <v>347</v>
      </c>
      <c r="H506" s="13" t="s">
        <v>337</v>
      </c>
    </row>
    <row r="507">
      <c r="A507" s="11">
        <v>50.0</v>
      </c>
      <c r="B507" s="12" t="s">
        <v>514</v>
      </c>
      <c r="C507" s="13" t="s">
        <v>487</v>
      </c>
      <c r="D507" s="13" t="s">
        <v>497</v>
      </c>
      <c r="E507" s="13" t="s">
        <v>497</v>
      </c>
      <c r="F507" s="13" t="s">
        <v>20</v>
      </c>
      <c r="G507" s="13" t="s">
        <v>347</v>
      </c>
      <c r="H507" s="13" t="s">
        <v>337</v>
      </c>
    </row>
    <row r="508">
      <c r="A508" s="11">
        <v>51.0</v>
      </c>
      <c r="B508" s="12" t="s">
        <v>515</v>
      </c>
      <c r="C508" s="13" t="s">
        <v>487</v>
      </c>
      <c r="D508" s="13" t="s">
        <v>497</v>
      </c>
      <c r="E508" s="13" t="s">
        <v>497</v>
      </c>
      <c r="F508" s="13" t="s">
        <v>20</v>
      </c>
      <c r="G508" s="13" t="s">
        <v>347</v>
      </c>
      <c r="H508" s="13" t="s">
        <v>337</v>
      </c>
    </row>
    <row r="509">
      <c r="A509" s="11">
        <v>52.0</v>
      </c>
      <c r="B509" s="12" t="s">
        <v>516</v>
      </c>
      <c r="C509" s="13" t="s">
        <v>487</v>
      </c>
      <c r="D509" s="13" t="s">
        <v>497</v>
      </c>
      <c r="E509" s="13" t="s">
        <v>497</v>
      </c>
      <c r="F509" s="13" t="s">
        <v>20</v>
      </c>
      <c r="G509" s="13" t="s">
        <v>347</v>
      </c>
      <c r="H509" s="13" t="s">
        <v>337</v>
      </c>
    </row>
    <row r="510">
      <c r="A510" s="11">
        <v>53.0</v>
      </c>
      <c r="B510" s="12" t="s">
        <v>517</v>
      </c>
      <c r="C510" s="13" t="s">
        <v>487</v>
      </c>
      <c r="D510" s="13" t="s">
        <v>497</v>
      </c>
      <c r="E510" s="13" t="s">
        <v>497</v>
      </c>
      <c r="F510" s="13" t="s">
        <v>20</v>
      </c>
      <c r="G510" s="13" t="s">
        <v>347</v>
      </c>
      <c r="H510" s="13" t="s">
        <v>337</v>
      </c>
    </row>
    <row r="511">
      <c r="A511" s="11">
        <v>54.0</v>
      </c>
      <c r="B511" s="12" t="s">
        <v>518</v>
      </c>
      <c r="C511" s="13" t="s">
        <v>487</v>
      </c>
      <c r="D511" s="13" t="s">
        <v>497</v>
      </c>
      <c r="E511" s="13" t="s">
        <v>497</v>
      </c>
      <c r="F511" s="13" t="s">
        <v>20</v>
      </c>
      <c r="G511" s="13" t="s">
        <v>347</v>
      </c>
      <c r="H511" s="13" t="s">
        <v>337</v>
      </c>
    </row>
    <row r="512">
      <c r="A512" s="11">
        <v>55.0</v>
      </c>
      <c r="B512" s="12" t="s">
        <v>519</v>
      </c>
      <c r="C512" s="13" t="s">
        <v>487</v>
      </c>
      <c r="D512" s="13" t="s">
        <v>497</v>
      </c>
      <c r="E512" s="13" t="s">
        <v>497</v>
      </c>
      <c r="F512" s="13" t="s">
        <v>20</v>
      </c>
      <c r="G512" s="13" t="s">
        <v>347</v>
      </c>
      <c r="H512" s="13" t="s">
        <v>337</v>
      </c>
    </row>
    <row r="513">
      <c r="A513" s="11">
        <v>56.0</v>
      </c>
      <c r="B513" s="12" t="s">
        <v>520</v>
      </c>
      <c r="C513" s="13" t="s">
        <v>487</v>
      </c>
      <c r="D513" s="13" t="s">
        <v>497</v>
      </c>
      <c r="E513" s="13" t="s">
        <v>497</v>
      </c>
      <c r="F513" s="13" t="s">
        <v>20</v>
      </c>
      <c r="G513" s="13" t="s">
        <v>347</v>
      </c>
      <c r="H513" s="13" t="s">
        <v>337</v>
      </c>
    </row>
    <row r="514">
      <c r="A514" s="11">
        <v>57.0</v>
      </c>
      <c r="B514" s="12" t="s">
        <v>521</v>
      </c>
      <c r="C514" s="13" t="s">
        <v>487</v>
      </c>
      <c r="D514" s="13" t="s">
        <v>497</v>
      </c>
      <c r="E514" s="13" t="s">
        <v>497</v>
      </c>
      <c r="F514" s="13" t="s">
        <v>26</v>
      </c>
      <c r="G514" s="13" t="s">
        <v>347</v>
      </c>
      <c r="H514" s="13" t="s">
        <v>337</v>
      </c>
    </row>
    <row r="515">
      <c r="A515" s="11">
        <v>58.0</v>
      </c>
      <c r="B515" s="12" t="s">
        <v>522</v>
      </c>
      <c r="C515" s="13" t="s">
        <v>487</v>
      </c>
      <c r="D515" s="13" t="s">
        <v>497</v>
      </c>
      <c r="E515" s="13" t="s">
        <v>497</v>
      </c>
      <c r="F515" s="13" t="s">
        <v>26</v>
      </c>
      <c r="G515" s="13" t="s">
        <v>347</v>
      </c>
      <c r="H515" s="13" t="s">
        <v>337</v>
      </c>
    </row>
    <row r="516">
      <c r="A516" s="11">
        <v>59.0</v>
      </c>
      <c r="B516" s="12" t="s">
        <v>523</v>
      </c>
      <c r="C516" s="13" t="s">
        <v>487</v>
      </c>
      <c r="D516" s="13" t="s">
        <v>497</v>
      </c>
      <c r="E516" s="13" t="s">
        <v>497</v>
      </c>
      <c r="F516" s="13" t="s">
        <v>26</v>
      </c>
      <c r="G516" s="13" t="s">
        <v>347</v>
      </c>
      <c r="H516" s="13" t="s">
        <v>337</v>
      </c>
    </row>
    <row r="517">
      <c r="A517" s="11">
        <v>60.0</v>
      </c>
      <c r="B517" s="12" t="s">
        <v>524</v>
      </c>
      <c r="C517" s="13" t="s">
        <v>487</v>
      </c>
      <c r="D517" s="13" t="s">
        <v>497</v>
      </c>
      <c r="E517" s="13" t="s">
        <v>497</v>
      </c>
      <c r="F517" s="13" t="s">
        <v>26</v>
      </c>
      <c r="G517" s="13" t="s">
        <v>347</v>
      </c>
      <c r="H517" s="13" t="s">
        <v>337</v>
      </c>
    </row>
    <row r="518">
      <c r="A518" s="11">
        <v>61.0</v>
      </c>
      <c r="B518" s="12" t="s">
        <v>525</v>
      </c>
      <c r="C518" s="13" t="s">
        <v>487</v>
      </c>
      <c r="D518" s="13" t="s">
        <v>497</v>
      </c>
      <c r="E518" s="13" t="s">
        <v>497</v>
      </c>
      <c r="F518" s="13" t="s">
        <v>26</v>
      </c>
      <c r="G518" s="13" t="s">
        <v>347</v>
      </c>
      <c r="H518" s="13" t="s">
        <v>337</v>
      </c>
    </row>
    <row r="519">
      <c r="A519" s="11">
        <v>62.0</v>
      </c>
      <c r="B519" s="12" t="s">
        <v>526</v>
      </c>
      <c r="C519" s="13" t="s">
        <v>487</v>
      </c>
      <c r="D519" s="13" t="s">
        <v>497</v>
      </c>
      <c r="E519" s="13" t="s">
        <v>497</v>
      </c>
      <c r="F519" s="13" t="s">
        <v>26</v>
      </c>
      <c r="G519" s="13" t="s">
        <v>347</v>
      </c>
      <c r="H519" s="13" t="s">
        <v>337</v>
      </c>
    </row>
    <row r="520">
      <c r="A520" s="11">
        <v>63.0</v>
      </c>
      <c r="B520" s="12" t="s">
        <v>527</v>
      </c>
      <c r="C520" s="13" t="s">
        <v>487</v>
      </c>
      <c r="D520" s="13" t="s">
        <v>497</v>
      </c>
      <c r="E520" s="13" t="s">
        <v>497</v>
      </c>
      <c r="F520" s="13" t="s">
        <v>26</v>
      </c>
      <c r="G520" s="13" t="s">
        <v>347</v>
      </c>
      <c r="H520" s="13" t="s">
        <v>337</v>
      </c>
    </row>
    <row r="521">
      <c r="A521" s="11">
        <v>64.0</v>
      </c>
      <c r="B521" s="12" t="s">
        <v>528</v>
      </c>
      <c r="C521" s="13" t="s">
        <v>487</v>
      </c>
      <c r="D521" s="13" t="s">
        <v>497</v>
      </c>
      <c r="E521" s="13" t="s">
        <v>497</v>
      </c>
      <c r="F521" s="13" t="s">
        <v>26</v>
      </c>
      <c r="G521" s="13" t="s">
        <v>347</v>
      </c>
      <c r="H521" s="13" t="s">
        <v>337</v>
      </c>
    </row>
    <row r="522">
      <c r="A522" s="11">
        <v>65.0</v>
      </c>
      <c r="B522" s="12" t="s">
        <v>529</v>
      </c>
      <c r="C522" s="13" t="s">
        <v>487</v>
      </c>
      <c r="D522" s="13" t="s">
        <v>488</v>
      </c>
      <c r="E522" s="13" t="s">
        <v>497</v>
      </c>
      <c r="F522" s="13" t="s">
        <v>26</v>
      </c>
      <c r="G522" s="13" t="s">
        <v>347</v>
      </c>
      <c r="H522" s="13" t="s">
        <v>337</v>
      </c>
    </row>
    <row r="523">
      <c r="A523" s="11">
        <v>66.0</v>
      </c>
      <c r="B523" s="12" t="s">
        <v>530</v>
      </c>
      <c r="C523" s="13" t="s">
        <v>487</v>
      </c>
      <c r="D523" s="13" t="s">
        <v>488</v>
      </c>
      <c r="E523" s="13" t="s">
        <v>497</v>
      </c>
      <c r="F523" s="13" t="s">
        <v>26</v>
      </c>
      <c r="G523" s="13" t="s">
        <v>347</v>
      </c>
      <c r="H523" s="13" t="s">
        <v>337</v>
      </c>
    </row>
    <row r="524">
      <c r="A524" s="11">
        <v>67.0</v>
      </c>
      <c r="B524" s="12" t="s">
        <v>531</v>
      </c>
      <c r="C524" s="13" t="s">
        <v>487</v>
      </c>
      <c r="D524" s="13" t="s">
        <v>488</v>
      </c>
      <c r="E524" s="13" t="s">
        <v>497</v>
      </c>
      <c r="F524" s="13" t="s">
        <v>26</v>
      </c>
      <c r="G524" s="13" t="s">
        <v>347</v>
      </c>
      <c r="H524" s="13" t="s">
        <v>337</v>
      </c>
    </row>
    <row r="525">
      <c r="A525" s="11">
        <v>68.0</v>
      </c>
      <c r="B525" s="12" t="s">
        <v>532</v>
      </c>
      <c r="C525" s="13" t="s">
        <v>487</v>
      </c>
      <c r="D525" s="13" t="s">
        <v>488</v>
      </c>
      <c r="E525" s="13" t="s">
        <v>497</v>
      </c>
      <c r="F525" s="13" t="s">
        <v>26</v>
      </c>
      <c r="G525" s="13" t="s">
        <v>347</v>
      </c>
      <c r="H525" s="13" t="s">
        <v>337</v>
      </c>
    </row>
    <row r="526">
      <c r="A526" s="11">
        <v>69.0</v>
      </c>
      <c r="B526" s="12" t="s">
        <v>533</v>
      </c>
      <c r="C526" s="13" t="s">
        <v>487</v>
      </c>
      <c r="D526" s="13" t="s">
        <v>488</v>
      </c>
      <c r="E526" s="13" t="s">
        <v>497</v>
      </c>
      <c r="F526" s="13" t="s">
        <v>26</v>
      </c>
      <c r="G526" s="13" t="s">
        <v>347</v>
      </c>
      <c r="H526" s="13" t="s">
        <v>337</v>
      </c>
    </row>
    <row r="527">
      <c r="A527" s="11">
        <v>70.0</v>
      </c>
      <c r="B527" s="12" t="s">
        <v>534</v>
      </c>
      <c r="C527" s="13" t="s">
        <v>487</v>
      </c>
      <c r="D527" s="13" t="s">
        <v>488</v>
      </c>
      <c r="E527" s="13" t="s">
        <v>497</v>
      </c>
      <c r="F527" s="13" t="s">
        <v>26</v>
      </c>
      <c r="G527" s="13" t="s">
        <v>347</v>
      </c>
      <c r="H527" s="13" t="s">
        <v>337</v>
      </c>
    </row>
    <row r="528">
      <c r="A528" s="11">
        <v>71.0</v>
      </c>
      <c r="B528" s="12" t="s">
        <v>535</v>
      </c>
      <c r="C528" s="13" t="s">
        <v>487</v>
      </c>
      <c r="D528" s="13" t="s">
        <v>488</v>
      </c>
      <c r="E528" s="13" t="s">
        <v>497</v>
      </c>
      <c r="F528" s="13" t="s">
        <v>26</v>
      </c>
      <c r="G528" s="13" t="s">
        <v>347</v>
      </c>
      <c r="H528" s="13" t="s">
        <v>337</v>
      </c>
    </row>
    <row r="529">
      <c r="A529" s="11">
        <v>72.0</v>
      </c>
      <c r="B529" s="12" t="s">
        <v>536</v>
      </c>
      <c r="C529" s="13" t="s">
        <v>487</v>
      </c>
      <c r="D529" s="13" t="s">
        <v>488</v>
      </c>
      <c r="E529" s="13" t="s">
        <v>497</v>
      </c>
      <c r="F529" s="13" t="s">
        <v>26</v>
      </c>
      <c r="G529" s="13" t="s">
        <v>347</v>
      </c>
      <c r="H529" s="13" t="s">
        <v>337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6.5"/>
    <col customWidth="1" min="10" max="10" width="17.0"/>
  </cols>
  <sheetData>
    <row r="1">
      <c r="A1" s="1" t="s">
        <v>0</v>
      </c>
      <c r="B1" s="1" t="s">
        <v>537</v>
      </c>
      <c r="C1" s="1" t="s">
        <v>538</v>
      </c>
      <c r="D1" s="1" t="s">
        <v>10</v>
      </c>
      <c r="E1" s="1" t="s">
        <v>539</v>
      </c>
      <c r="F1" s="1" t="s">
        <v>540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541</v>
      </c>
      <c r="L1" s="1" t="s">
        <v>9</v>
      </c>
      <c r="M1" s="3" t="s">
        <v>542</v>
      </c>
      <c r="N1" s="3" t="s">
        <v>543</v>
      </c>
      <c r="O1" s="3" t="s">
        <v>544</v>
      </c>
      <c r="P1" s="3" t="s">
        <v>41</v>
      </c>
    </row>
    <row r="2">
      <c r="A2" s="3">
        <v>1.0</v>
      </c>
      <c r="B2" s="3" t="s">
        <v>488</v>
      </c>
      <c r="C2" s="3" t="s">
        <v>488</v>
      </c>
      <c r="D2" s="3" t="s">
        <v>20</v>
      </c>
      <c r="E2" s="3" t="s">
        <v>26</v>
      </c>
      <c r="F2" s="3" t="s">
        <v>545</v>
      </c>
      <c r="G2" s="3" t="s">
        <v>546</v>
      </c>
      <c r="H2" s="3" t="s">
        <v>547</v>
      </c>
      <c r="I2" s="3" t="s">
        <v>233</v>
      </c>
      <c r="J2" s="3" t="s">
        <v>548</v>
      </c>
      <c r="K2" s="3" t="s">
        <v>549</v>
      </c>
      <c r="M2" s="5">
        <f>COUNTIF(D2:D49, "Yes")</f>
        <v>32</v>
      </c>
      <c r="N2" s="5">
        <f>COUNTIF(D2:D49, "No")</f>
        <v>16</v>
      </c>
      <c r="O2" s="5">
        <f>COUNTIF(C2:C49, "=SG")</f>
        <v>40</v>
      </c>
      <c r="P2" s="5">
        <f>COUNTIF(C2:C49, "=PL")</f>
        <v>8</v>
      </c>
    </row>
    <row r="3">
      <c r="A3" s="3">
        <v>2.0</v>
      </c>
      <c r="B3" s="3" t="s">
        <v>488</v>
      </c>
      <c r="C3" s="3" t="s">
        <v>488</v>
      </c>
      <c r="D3" s="3" t="s">
        <v>20</v>
      </c>
      <c r="E3" s="3" t="s">
        <v>26</v>
      </c>
      <c r="F3" s="3" t="s">
        <v>550</v>
      </c>
      <c r="G3" s="3" t="s">
        <v>551</v>
      </c>
      <c r="H3" s="3" t="s">
        <v>552</v>
      </c>
      <c r="I3" s="3" t="s">
        <v>289</v>
      </c>
      <c r="J3" s="3" t="s">
        <v>290</v>
      </c>
      <c r="K3" s="3" t="s">
        <v>553</v>
      </c>
      <c r="L3" s="3" t="s">
        <v>554</v>
      </c>
    </row>
    <row r="4">
      <c r="A4" s="3">
        <v>3.0</v>
      </c>
      <c r="B4" s="3" t="s">
        <v>488</v>
      </c>
      <c r="C4" s="3" t="s">
        <v>488</v>
      </c>
      <c r="D4" s="3" t="s">
        <v>20</v>
      </c>
      <c r="E4" s="3" t="s">
        <v>26</v>
      </c>
      <c r="F4" s="3" t="s">
        <v>555</v>
      </c>
      <c r="G4" s="3" t="s">
        <v>556</v>
      </c>
      <c r="H4" s="3" t="s">
        <v>557</v>
      </c>
      <c r="I4" s="3" t="s">
        <v>558</v>
      </c>
      <c r="J4" s="3" t="s">
        <v>559</v>
      </c>
      <c r="K4" s="3" t="s">
        <v>560</v>
      </c>
    </row>
    <row r="5">
      <c r="A5" s="3">
        <v>4.0</v>
      </c>
      <c r="B5" s="3" t="s">
        <v>488</v>
      </c>
      <c r="C5" s="3" t="s">
        <v>488</v>
      </c>
      <c r="D5" s="3" t="s">
        <v>20</v>
      </c>
      <c r="E5" s="3" t="s">
        <v>26</v>
      </c>
      <c r="F5" s="3" t="s">
        <v>561</v>
      </c>
      <c r="G5" s="3" t="s">
        <v>562</v>
      </c>
      <c r="H5" s="3" t="s">
        <v>563</v>
      </c>
      <c r="I5" s="3" t="s">
        <v>564</v>
      </c>
      <c r="J5" s="3" t="s">
        <v>239</v>
      </c>
      <c r="K5" s="3" t="s">
        <v>565</v>
      </c>
    </row>
    <row r="6">
      <c r="A6" s="3">
        <v>5.0</v>
      </c>
      <c r="B6" s="3" t="s">
        <v>488</v>
      </c>
      <c r="C6" s="3" t="s">
        <v>488</v>
      </c>
      <c r="D6" s="3" t="s">
        <v>20</v>
      </c>
      <c r="E6" s="3" t="s">
        <v>26</v>
      </c>
      <c r="F6" s="3" t="s">
        <v>566</v>
      </c>
      <c r="G6" s="3" t="s">
        <v>567</v>
      </c>
      <c r="H6" s="3" t="s">
        <v>568</v>
      </c>
      <c r="I6" s="3" t="s">
        <v>569</v>
      </c>
      <c r="J6" s="3" t="s">
        <v>570</v>
      </c>
      <c r="K6" s="3" t="s">
        <v>571</v>
      </c>
    </row>
    <row r="7">
      <c r="A7" s="3">
        <v>6.0</v>
      </c>
      <c r="B7" s="3" t="s">
        <v>488</v>
      </c>
      <c r="C7" s="3" t="s">
        <v>488</v>
      </c>
      <c r="D7" s="3" t="s">
        <v>20</v>
      </c>
      <c r="E7" s="3" t="s">
        <v>26</v>
      </c>
      <c r="F7" s="3" t="s">
        <v>572</v>
      </c>
      <c r="G7" s="3" t="s">
        <v>190</v>
      </c>
      <c r="H7" s="3" t="s">
        <v>573</v>
      </c>
      <c r="I7" s="3" t="s">
        <v>574</v>
      </c>
      <c r="J7" s="3" t="s">
        <v>575</v>
      </c>
      <c r="K7" s="3" t="s">
        <v>576</v>
      </c>
    </row>
    <row r="8">
      <c r="A8" s="3">
        <v>7.0</v>
      </c>
      <c r="B8" s="3" t="s">
        <v>488</v>
      </c>
      <c r="C8" s="3" t="s">
        <v>488</v>
      </c>
      <c r="D8" s="3" t="s">
        <v>20</v>
      </c>
      <c r="E8" s="3" t="s">
        <v>26</v>
      </c>
      <c r="F8" s="3" t="s">
        <v>577</v>
      </c>
      <c r="G8" s="3" t="s">
        <v>578</v>
      </c>
      <c r="H8" s="3" t="s">
        <v>579</v>
      </c>
      <c r="I8" s="3" t="s">
        <v>580</v>
      </c>
      <c r="J8" s="3" t="s">
        <v>581</v>
      </c>
      <c r="K8" s="3" t="s">
        <v>582</v>
      </c>
      <c r="L8" s="3" t="s">
        <v>583</v>
      </c>
    </row>
    <row r="9">
      <c r="A9" s="3">
        <v>8.0</v>
      </c>
      <c r="B9" s="3" t="s">
        <v>488</v>
      </c>
      <c r="C9" s="3" t="s">
        <v>488</v>
      </c>
      <c r="D9" s="3" t="s">
        <v>20</v>
      </c>
      <c r="E9" s="3" t="s">
        <v>26</v>
      </c>
      <c r="F9" s="3" t="s">
        <v>584</v>
      </c>
      <c r="G9" s="3" t="s">
        <v>585</v>
      </c>
      <c r="H9" s="3" t="s">
        <v>586</v>
      </c>
      <c r="I9" s="3" t="s">
        <v>587</v>
      </c>
      <c r="J9" s="3" t="s">
        <v>588</v>
      </c>
    </row>
    <row r="10">
      <c r="A10" s="3">
        <v>9.0</v>
      </c>
      <c r="B10" s="3" t="s">
        <v>497</v>
      </c>
      <c r="C10" s="3" t="s">
        <v>497</v>
      </c>
      <c r="D10" s="3" t="s">
        <v>20</v>
      </c>
      <c r="E10" s="3" t="s">
        <v>26</v>
      </c>
      <c r="F10" s="3" t="s">
        <v>589</v>
      </c>
      <c r="G10" s="3" t="s">
        <v>590</v>
      </c>
      <c r="H10" s="3" t="s">
        <v>591</v>
      </c>
      <c r="I10" s="3" t="s">
        <v>592</v>
      </c>
      <c r="J10" s="3" t="s">
        <v>593</v>
      </c>
      <c r="K10" s="3" t="s">
        <v>594</v>
      </c>
    </row>
    <row r="11">
      <c r="A11" s="3">
        <v>10.0</v>
      </c>
      <c r="B11" s="3" t="s">
        <v>497</v>
      </c>
      <c r="C11" s="3" t="s">
        <v>497</v>
      </c>
      <c r="D11" s="3" t="s">
        <v>20</v>
      </c>
      <c r="E11" s="3" t="s">
        <v>26</v>
      </c>
      <c r="F11" s="3" t="s">
        <v>595</v>
      </c>
      <c r="G11" s="3" t="s">
        <v>596</v>
      </c>
      <c r="H11" s="3" t="s">
        <v>84</v>
      </c>
      <c r="I11" s="3" t="s">
        <v>597</v>
      </c>
      <c r="J11" s="3" t="s">
        <v>598</v>
      </c>
      <c r="K11" s="3" t="s">
        <v>591</v>
      </c>
      <c r="L11" s="3" t="s">
        <v>599</v>
      </c>
    </row>
    <row r="12">
      <c r="A12" s="3">
        <v>11.0</v>
      </c>
      <c r="B12" s="3" t="s">
        <v>497</v>
      </c>
      <c r="C12" s="3" t="s">
        <v>497</v>
      </c>
      <c r="D12" s="3" t="s">
        <v>20</v>
      </c>
      <c r="E12" s="3" t="s">
        <v>26</v>
      </c>
      <c r="F12" s="3" t="s">
        <v>600</v>
      </c>
      <c r="G12" s="3" t="s">
        <v>601</v>
      </c>
      <c r="H12" s="3" t="s">
        <v>602</v>
      </c>
      <c r="I12" s="3" t="s">
        <v>603</v>
      </c>
      <c r="J12" s="3" t="s">
        <v>591</v>
      </c>
      <c r="K12" s="3" t="s">
        <v>604</v>
      </c>
      <c r="L12" s="3" t="s">
        <v>605</v>
      </c>
    </row>
    <row r="13">
      <c r="A13" s="3">
        <v>12.0</v>
      </c>
      <c r="B13" s="3" t="s">
        <v>497</v>
      </c>
      <c r="C13" s="3" t="s">
        <v>497</v>
      </c>
      <c r="D13" s="3" t="s">
        <v>20</v>
      </c>
      <c r="E13" s="3" t="s">
        <v>26</v>
      </c>
      <c r="F13" s="3" t="s">
        <v>606</v>
      </c>
      <c r="G13" s="3" t="s">
        <v>607</v>
      </c>
      <c r="H13" s="3" t="s">
        <v>608</v>
      </c>
      <c r="I13" s="3" t="s">
        <v>609</v>
      </c>
      <c r="J13" s="3" t="s">
        <v>610</v>
      </c>
      <c r="K13" s="3" t="s">
        <v>611</v>
      </c>
    </row>
    <row r="14">
      <c r="A14" s="3">
        <v>13.0</v>
      </c>
      <c r="B14" s="3" t="s">
        <v>497</v>
      </c>
      <c r="C14" s="3" t="s">
        <v>497</v>
      </c>
      <c r="D14" s="3" t="s">
        <v>20</v>
      </c>
      <c r="E14" s="3" t="s">
        <v>26</v>
      </c>
      <c r="F14" s="3" t="s">
        <v>612</v>
      </c>
      <c r="G14" s="3" t="s">
        <v>613</v>
      </c>
      <c r="H14" s="3" t="s">
        <v>614</v>
      </c>
      <c r="I14" s="3" t="s">
        <v>615</v>
      </c>
      <c r="J14" s="3" t="s">
        <v>616</v>
      </c>
      <c r="K14" s="3" t="s">
        <v>617</v>
      </c>
      <c r="L14" s="3" t="s">
        <v>618</v>
      </c>
    </row>
    <row r="15">
      <c r="A15" s="3">
        <v>14.0</v>
      </c>
      <c r="B15" s="3" t="s">
        <v>497</v>
      </c>
      <c r="C15" s="3" t="s">
        <v>497</v>
      </c>
      <c r="D15" s="3" t="s">
        <v>20</v>
      </c>
      <c r="E15" s="3" t="s">
        <v>26</v>
      </c>
      <c r="F15" s="3" t="s">
        <v>619</v>
      </c>
      <c r="G15" s="3" t="s">
        <v>620</v>
      </c>
      <c r="H15" s="3" t="s">
        <v>621</v>
      </c>
      <c r="I15" s="3" t="s">
        <v>622</v>
      </c>
      <c r="J15" s="3" t="s">
        <v>623</v>
      </c>
      <c r="K15" s="3" t="s">
        <v>624</v>
      </c>
      <c r="L15" s="3" t="s">
        <v>625</v>
      </c>
    </row>
    <row r="16">
      <c r="A16" s="3">
        <v>15.0</v>
      </c>
      <c r="B16" s="3" t="s">
        <v>497</v>
      </c>
      <c r="C16" s="3" t="s">
        <v>497</v>
      </c>
      <c r="D16" s="3" t="s">
        <v>20</v>
      </c>
      <c r="E16" s="3" t="s">
        <v>26</v>
      </c>
      <c r="F16" s="3" t="s">
        <v>626</v>
      </c>
      <c r="G16" s="3" t="s">
        <v>627</v>
      </c>
      <c r="H16" s="3" t="s">
        <v>628</v>
      </c>
      <c r="I16" s="3" t="s">
        <v>63</v>
      </c>
      <c r="J16" s="3" t="s">
        <v>629</v>
      </c>
      <c r="K16" s="3" t="s">
        <v>630</v>
      </c>
      <c r="L16" s="3" t="s">
        <v>631</v>
      </c>
    </row>
    <row r="17">
      <c r="A17" s="3">
        <v>16.0</v>
      </c>
      <c r="B17" s="3" t="s">
        <v>497</v>
      </c>
      <c r="C17" s="3" t="s">
        <v>497</v>
      </c>
      <c r="D17" s="3" t="s">
        <v>20</v>
      </c>
      <c r="E17" s="3" t="s">
        <v>26</v>
      </c>
      <c r="F17" s="3" t="s">
        <v>632</v>
      </c>
      <c r="G17" s="3" t="s">
        <v>633</v>
      </c>
      <c r="H17" s="3" t="s">
        <v>634</v>
      </c>
      <c r="I17" s="3" t="s">
        <v>635</v>
      </c>
      <c r="J17" s="3" t="s">
        <v>636</v>
      </c>
      <c r="K17" s="3" t="s">
        <v>637</v>
      </c>
    </row>
    <row r="18">
      <c r="A18" s="3">
        <v>17.0</v>
      </c>
      <c r="B18" s="3" t="s">
        <v>488</v>
      </c>
      <c r="C18" s="3" t="s">
        <v>497</v>
      </c>
      <c r="D18" s="3" t="s">
        <v>20</v>
      </c>
      <c r="E18" s="3" t="s">
        <v>26</v>
      </c>
      <c r="F18" s="3" t="s">
        <v>638</v>
      </c>
      <c r="G18" s="3" t="s">
        <v>639</v>
      </c>
      <c r="H18" s="3" t="s">
        <v>640</v>
      </c>
      <c r="I18" s="3" t="s">
        <v>641</v>
      </c>
      <c r="J18" s="3" t="s">
        <v>239</v>
      </c>
      <c r="K18" s="3" t="s">
        <v>642</v>
      </c>
    </row>
    <row r="19">
      <c r="A19" s="3">
        <v>18.0</v>
      </c>
      <c r="B19" s="3" t="s">
        <v>488</v>
      </c>
      <c r="C19" s="3" t="s">
        <v>497</v>
      </c>
      <c r="D19" s="3" t="s">
        <v>20</v>
      </c>
      <c r="E19" s="3" t="s">
        <v>26</v>
      </c>
      <c r="F19" s="3" t="s">
        <v>643</v>
      </c>
      <c r="G19" s="3" t="s">
        <v>644</v>
      </c>
      <c r="H19" s="3" t="s">
        <v>591</v>
      </c>
      <c r="I19" s="3" t="s">
        <v>645</v>
      </c>
      <c r="J19" s="3" t="s">
        <v>646</v>
      </c>
      <c r="K19" s="3" t="s">
        <v>647</v>
      </c>
      <c r="L19" s="3" t="s">
        <v>648</v>
      </c>
    </row>
    <row r="20">
      <c r="A20" s="3">
        <v>19.0</v>
      </c>
      <c r="B20" s="3" t="s">
        <v>488</v>
      </c>
      <c r="C20" s="3" t="s">
        <v>497</v>
      </c>
      <c r="D20" s="3" t="s">
        <v>20</v>
      </c>
      <c r="E20" s="3" t="s">
        <v>26</v>
      </c>
      <c r="F20" s="3" t="s">
        <v>649</v>
      </c>
      <c r="G20" s="3" t="s">
        <v>586</v>
      </c>
      <c r="H20" s="3" t="s">
        <v>650</v>
      </c>
      <c r="I20" s="3" t="s">
        <v>651</v>
      </c>
      <c r="J20" s="3" t="s">
        <v>652</v>
      </c>
      <c r="K20" s="3" t="s">
        <v>653</v>
      </c>
      <c r="L20" s="3" t="s">
        <v>654</v>
      </c>
    </row>
    <row r="21">
      <c r="A21" s="3">
        <v>20.0</v>
      </c>
      <c r="B21" s="3" t="s">
        <v>488</v>
      </c>
      <c r="C21" s="3" t="s">
        <v>497</v>
      </c>
      <c r="D21" s="3" t="s">
        <v>20</v>
      </c>
      <c r="E21" s="3" t="s">
        <v>26</v>
      </c>
      <c r="F21" s="3" t="s">
        <v>655</v>
      </c>
      <c r="G21" s="3" t="s">
        <v>656</v>
      </c>
      <c r="H21" s="3" t="s">
        <v>657</v>
      </c>
      <c r="I21" s="3" t="s">
        <v>658</v>
      </c>
      <c r="J21" s="3" t="s">
        <v>659</v>
      </c>
      <c r="K21" s="3" t="s">
        <v>660</v>
      </c>
      <c r="L21" s="3" t="s">
        <v>661</v>
      </c>
    </row>
    <row r="22">
      <c r="A22" s="3">
        <v>21.0</v>
      </c>
      <c r="B22" s="3" t="s">
        <v>488</v>
      </c>
      <c r="C22" s="3" t="s">
        <v>497</v>
      </c>
      <c r="D22" s="3" t="s">
        <v>20</v>
      </c>
      <c r="E22" s="3" t="s">
        <v>26</v>
      </c>
      <c r="F22" s="3" t="s">
        <v>662</v>
      </c>
      <c r="G22" s="3" t="s">
        <v>248</v>
      </c>
      <c r="H22" s="3" t="s">
        <v>663</v>
      </c>
      <c r="I22" s="3" t="s">
        <v>664</v>
      </c>
      <c r="J22" s="3" t="s">
        <v>665</v>
      </c>
      <c r="K22" s="3" t="s">
        <v>666</v>
      </c>
    </row>
    <row r="23">
      <c r="A23" s="3">
        <v>22.0</v>
      </c>
      <c r="B23" s="3" t="s">
        <v>488</v>
      </c>
      <c r="C23" s="3" t="s">
        <v>497</v>
      </c>
      <c r="D23" s="3" t="s">
        <v>20</v>
      </c>
      <c r="E23" s="3" t="s">
        <v>26</v>
      </c>
      <c r="F23" s="3" t="s">
        <v>667</v>
      </c>
      <c r="G23" s="3" t="s">
        <v>248</v>
      </c>
      <c r="H23" s="3" t="s">
        <v>668</v>
      </c>
      <c r="I23" s="3" t="s">
        <v>669</v>
      </c>
      <c r="J23" s="3" t="s">
        <v>670</v>
      </c>
      <c r="K23" s="3" t="s">
        <v>671</v>
      </c>
      <c r="L23" s="3" t="s">
        <v>672</v>
      </c>
    </row>
    <row r="24">
      <c r="A24" s="3">
        <v>23.0</v>
      </c>
      <c r="B24" s="3" t="s">
        <v>488</v>
      </c>
      <c r="C24" s="3" t="s">
        <v>497</v>
      </c>
      <c r="D24" s="3" t="s">
        <v>20</v>
      </c>
      <c r="E24" s="3" t="s">
        <v>26</v>
      </c>
      <c r="F24" s="3" t="s">
        <v>673</v>
      </c>
      <c r="G24" s="3" t="s">
        <v>656</v>
      </c>
      <c r="H24" s="3" t="s">
        <v>674</v>
      </c>
      <c r="I24" s="3" t="s">
        <v>675</v>
      </c>
      <c r="J24" s="3" t="s">
        <v>676</v>
      </c>
      <c r="K24" s="3" t="s">
        <v>677</v>
      </c>
      <c r="L24" s="3" t="s">
        <v>678</v>
      </c>
    </row>
    <row r="25">
      <c r="A25" s="3">
        <v>24.0</v>
      </c>
      <c r="B25" s="3" t="s">
        <v>488</v>
      </c>
      <c r="C25" s="3" t="s">
        <v>497</v>
      </c>
      <c r="D25" s="3" t="s">
        <v>20</v>
      </c>
      <c r="E25" s="3" t="s">
        <v>26</v>
      </c>
      <c r="F25" s="3" t="s">
        <v>679</v>
      </c>
      <c r="G25" s="3" t="s">
        <v>680</v>
      </c>
      <c r="H25" s="3" t="s">
        <v>681</v>
      </c>
      <c r="I25" s="3" t="s">
        <v>682</v>
      </c>
      <c r="J25" s="3" t="s">
        <v>683</v>
      </c>
      <c r="K25" s="3" t="s">
        <v>684</v>
      </c>
    </row>
    <row r="26">
      <c r="A26" s="3">
        <v>25.0</v>
      </c>
      <c r="B26" s="3" t="s">
        <v>497</v>
      </c>
      <c r="C26" s="3" t="s">
        <v>497</v>
      </c>
      <c r="D26" s="3" t="s">
        <v>20</v>
      </c>
      <c r="E26" s="3" t="s">
        <v>20</v>
      </c>
      <c r="F26" s="3" t="s">
        <v>685</v>
      </c>
      <c r="G26" s="3" t="s">
        <v>686</v>
      </c>
      <c r="H26" s="3" t="s">
        <v>687</v>
      </c>
      <c r="I26" s="3" t="s">
        <v>688</v>
      </c>
      <c r="J26" s="3" t="s">
        <v>689</v>
      </c>
      <c r="K26" s="3" t="s">
        <v>239</v>
      </c>
      <c r="L26" s="3" t="s">
        <v>690</v>
      </c>
    </row>
    <row r="27">
      <c r="A27" s="3">
        <v>26.0</v>
      </c>
      <c r="B27" s="3" t="s">
        <v>497</v>
      </c>
      <c r="C27" s="3" t="s">
        <v>497</v>
      </c>
      <c r="D27" s="3" t="s">
        <v>20</v>
      </c>
      <c r="E27" s="3" t="s">
        <v>20</v>
      </c>
      <c r="F27" s="3" t="s">
        <v>691</v>
      </c>
      <c r="G27" s="3" t="s">
        <v>692</v>
      </c>
      <c r="H27" s="3" t="s">
        <v>693</v>
      </c>
      <c r="I27" s="3" t="s">
        <v>694</v>
      </c>
      <c r="J27" s="3" t="s">
        <v>624</v>
      </c>
      <c r="K27" s="3" t="s">
        <v>695</v>
      </c>
    </row>
    <row r="28">
      <c r="A28" s="3">
        <v>27.0</v>
      </c>
      <c r="B28" s="3" t="s">
        <v>497</v>
      </c>
      <c r="C28" s="3" t="s">
        <v>497</v>
      </c>
      <c r="D28" s="3" t="s">
        <v>20</v>
      </c>
      <c r="E28" s="3" t="s">
        <v>20</v>
      </c>
      <c r="F28" s="3" t="s">
        <v>696</v>
      </c>
      <c r="G28" s="3" t="s">
        <v>697</v>
      </c>
      <c r="H28" s="3" t="s">
        <v>698</v>
      </c>
      <c r="I28" s="3" t="s">
        <v>699</v>
      </c>
      <c r="J28" s="3" t="s">
        <v>700</v>
      </c>
      <c r="K28" s="3" t="s">
        <v>701</v>
      </c>
      <c r="L28" s="3" t="s">
        <v>702</v>
      </c>
    </row>
    <row r="29">
      <c r="A29" s="3">
        <v>28.0</v>
      </c>
      <c r="B29" s="3" t="s">
        <v>497</v>
      </c>
      <c r="C29" s="3" t="s">
        <v>497</v>
      </c>
      <c r="D29" s="3" t="s">
        <v>20</v>
      </c>
      <c r="E29" s="3" t="s">
        <v>20</v>
      </c>
      <c r="F29" s="3" t="s">
        <v>703</v>
      </c>
      <c r="G29" s="3" t="s">
        <v>704</v>
      </c>
      <c r="H29" s="3" t="s">
        <v>705</v>
      </c>
      <c r="I29" s="3" t="s">
        <v>706</v>
      </c>
      <c r="J29" s="3" t="s">
        <v>239</v>
      </c>
      <c r="K29" s="3" t="s">
        <v>707</v>
      </c>
    </row>
    <row r="30">
      <c r="A30" s="3">
        <v>29.0</v>
      </c>
      <c r="B30" s="3" t="s">
        <v>497</v>
      </c>
      <c r="C30" s="3" t="s">
        <v>497</v>
      </c>
      <c r="D30" s="3" t="s">
        <v>20</v>
      </c>
      <c r="E30" s="3" t="s">
        <v>20</v>
      </c>
      <c r="F30" s="3" t="s">
        <v>708</v>
      </c>
      <c r="G30" s="3" t="s">
        <v>709</v>
      </c>
      <c r="H30" s="3" t="s">
        <v>710</v>
      </c>
      <c r="I30" s="3" t="s">
        <v>711</v>
      </c>
      <c r="J30" s="3" t="s">
        <v>712</v>
      </c>
      <c r="K30" s="3" t="s">
        <v>713</v>
      </c>
    </row>
    <row r="31">
      <c r="A31" s="3">
        <v>30.0</v>
      </c>
      <c r="B31" s="3" t="s">
        <v>497</v>
      </c>
      <c r="C31" s="3" t="s">
        <v>497</v>
      </c>
      <c r="D31" s="3" t="s">
        <v>20</v>
      </c>
      <c r="E31" s="3" t="s">
        <v>20</v>
      </c>
      <c r="F31" s="3" t="s">
        <v>714</v>
      </c>
      <c r="G31" s="3" t="s">
        <v>715</v>
      </c>
      <c r="H31" s="3" t="s">
        <v>716</v>
      </c>
      <c r="I31" s="3" t="s">
        <v>717</v>
      </c>
      <c r="J31" s="3" t="s">
        <v>718</v>
      </c>
      <c r="K31" s="3" t="s">
        <v>239</v>
      </c>
      <c r="L31" s="3" t="s">
        <v>719</v>
      </c>
    </row>
    <row r="32">
      <c r="A32" s="3">
        <v>31.0</v>
      </c>
      <c r="B32" s="3" t="s">
        <v>497</v>
      </c>
      <c r="C32" s="3" t="s">
        <v>497</v>
      </c>
      <c r="D32" s="3" t="s">
        <v>20</v>
      </c>
      <c r="E32" s="3" t="s">
        <v>20</v>
      </c>
      <c r="F32" s="3" t="s">
        <v>720</v>
      </c>
      <c r="G32" s="3" t="s">
        <v>721</v>
      </c>
      <c r="H32" s="3" t="s">
        <v>722</v>
      </c>
      <c r="I32" s="3" t="s">
        <v>723</v>
      </c>
      <c r="J32" s="3" t="s">
        <v>724</v>
      </c>
      <c r="K32" s="3" t="s">
        <v>725</v>
      </c>
    </row>
    <row r="33">
      <c r="A33" s="3">
        <v>32.0</v>
      </c>
      <c r="B33" s="3" t="s">
        <v>497</v>
      </c>
      <c r="C33" s="3" t="s">
        <v>497</v>
      </c>
      <c r="D33" s="3" t="s">
        <v>20</v>
      </c>
      <c r="E33" s="3" t="s">
        <v>20</v>
      </c>
      <c r="F33" s="3" t="s">
        <v>726</v>
      </c>
      <c r="G33" s="3" t="s">
        <v>727</v>
      </c>
      <c r="H33" s="3" t="s">
        <v>728</v>
      </c>
      <c r="I33" s="3" t="s">
        <v>575</v>
      </c>
      <c r="J33" s="3" t="s">
        <v>729</v>
      </c>
      <c r="K33" s="3" t="s">
        <v>730</v>
      </c>
      <c r="L33" s="3" t="s">
        <v>731</v>
      </c>
    </row>
    <row r="34">
      <c r="A34" s="3">
        <v>33.0</v>
      </c>
      <c r="B34" s="3" t="s">
        <v>497</v>
      </c>
      <c r="C34" s="3" t="s">
        <v>497</v>
      </c>
      <c r="D34" s="3" t="s">
        <v>26</v>
      </c>
      <c r="E34" s="3" t="s">
        <v>26</v>
      </c>
      <c r="F34" s="3" t="s">
        <v>274</v>
      </c>
      <c r="G34" s="3" t="s">
        <v>607</v>
      </c>
      <c r="H34" s="3" t="s">
        <v>732</v>
      </c>
      <c r="I34" s="3" t="s">
        <v>733</v>
      </c>
      <c r="J34" s="3" t="s">
        <v>734</v>
      </c>
      <c r="K34" s="3" t="s">
        <v>735</v>
      </c>
      <c r="L34" s="3" t="s">
        <v>736</v>
      </c>
    </row>
    <row r="35">
      <c r="A35" s="3">
        <v>34.0</v>
      </c>
      <c r="B35" s="3" t="s">
        <v>497</v>
      </c>
      <c r="C35" s="3" t="s">
        <v>497</v>
      </c>
      <c r="D35" s="3" t="s">
        <v>26</v>
      </c>
      <c r="E35" s="3" t="s">
        <v>26</v>
      </c>
      <c r="F35" s="3" t="s">
        <v>737</v>
      </c>
      <c r="G35" s="3" t="s">
        <v>738</v>
      </c>
      <c r="H35" s="3" t="s">
        <v>739</v>
      </c>
      <c r="I35" s="3" t="s">
        <v>301</v>
      </c>
      <c r="J35" s="3" t="s">
        <v>740</v>
      </c>
      <c r="K35" s="3" t="s">
        <v>741</v>
      </c>
    </row>
    <row r="36">
      <c r="A36" s="3">
        <v>35.0</v>
      </c>
      <c r="B36" s="3" t="s">
        <v>497</v>
      </c>
      <c r="C36" s="3" t="s">
        <v>497</v>
      </c>
      <c r="D36" s="3" t="s">
        <v>26</v>
      </c>
      <c r="E36" s="3" t="s">
        <v>26</v>
      </c>
      <c r="F36" s="14" t="s">
        <v>742</v>
      </c>
      <c r="G36" s="3" t="s">
        <v>743</v>
      </c>
      <c r="H36" s="3" t="s">
        <v>744</v>
      </c>
      <c r="I36" s="3" t="s">
        <v>745</v>
      </c>
      <c r="J36" s="3" t="s">
        <v>746</v>
      </c>
      <c r="K36" s="3" t="s">
        <v>747</v>
      </c>
    </row>
    <row r="37">
      <c r="A37" s="3">
        <v>36.0</v>
      </c>
      <c r="B37" s="3" t="s">
        <v>497</v>
      </c>
      <c r="C37" s="3" t="s">
        <v>497</v>
      </c>
      <c r="D37" s="3" t="s">
        <v>26</v>
      </c>
      <c r="E37" s="3" t="s">
        <v>26</v>
      </c>
      <c r="F37" s="3" t="s">
        <v>748</v>
      </c>
      <c r="G37" s="3" t="s">
        <v>749</v>
      </c>
      <c r="H37" s="3" t="s">
        <v>750</v>
      </c>
      <c r="I37" s="3" t="s">
        <v>751</v>
      </c>
      <c r="J37" s="3" t="s">
        <v>752</v>
      </c>
      <c r="K37" s="3" t="s">
        <v>753</v>
      </c>
    </row>
    <row r="38">
      <c r="A38" s="3">
        <v>37.0</v>
      </c>
      <c r="B38" s="3" t="s">
        <v>497</v>
      </c>
      <c r="C38" s="3" t="s">
        <v>497</v>
      </c>
      <c r="D38" s="3" t="s">
        <v>26</v>
      </c>
      <c r="E38" s="3" t="s">
        <v>26</v>
      </c>
      <c r="F38" s="3" t="s">
        <v>754</v>
      </c>
      <c r="G38" s="3" t="s">
        <v>586</v>
      </c>
      <c r="H38" s="3" t="s">
        <v>755</v>
      </c>
      <c r="I38" s="3" t="s">
        <v>756</v>
      </c>
      <c r="J38" s="3" t="s">
        <v>757</v>
      </c>
      <c r="K38" s="3" t="s">
        <v>758</v>
      </c>
      <c r="L38" s="3" t="s">
        <v>759</v>
      </c>
    </row>
    <row r="39">
      <c r="A39" s="3">
        <v>38.0</v>
      </c>
      <c r="B39" s="3" t="s">
        <v>497</v>
      </c>
      <c r="C39" s="3" t="s">
        <v>497</v>
      </c>
      <c r="D39" s="3" t="s">
        <v>26</v>
      </c>
      <c r="E39" s="3" t="s">
        <v>26</v>
      </c>
      <c r="F39" s="3" t="s">
        <v>760</v>
      </c>
      <c r="G39" s="3" t="s">
        <v>761</v>
      </c>
      <c r="H39" s="3" t="s">
        <v>762</v>
      </c>
      <c r="I39" s="3" t="s">
        <v>763</v>
      </c>
      <c r="J39" s="3" t="s">
        <v>689</v>
      </c>
      <c r="K39" s="3" t="s">
        <v>764</v>
      </c>
    </row>
    <row r="40">
      <c r="A40" s="3">
        <v>39.0</v>
      </c>
      <c r="B40" s="3" t="s">
        <v>497</v>
      </c>
      <c r="C40" s="3" t="s">
        <v>497</v>
      </c>
      <c r="D40" s="3" t="s">
        <v>26</v>
      </c>
      <c r="E40" s="3" t="s">
        <v>26</v>
      </c>
      <c r="F40" s="3" t="s">
        <v>765</v>
      </c>
      <c r="G40" s="3" t="s">
        <v>290</v>
      </c>
      <c r="H40" s="3" t="s">
        <v>766</v>
      </c>
      <c r="I40" s="3" t="s">
        <v>767</v>
      </c>
      <c r="J40" s="3" t="s">
        <v>768</v>
      </c>
      <c r="K40" s="3" t="s">
        <v>769</v>
      </c>
    </row>
    <row r="41">
      <c r="A41" s="3">
        <v>40.0</v>
      </c>
      <c r="B41" s="3" t="s">
        <v>497</v>
      </c>
      <c r="C41" s="3" t="s">
        <v>497</v>
      </c>
      <c r="D41" s="3" t="s">
        <v>26</v>
      </c>
      <c r="E41" s="3" t="s">
        <v>26</v>
      </c>
      <c r="F41" s="3" t="s">
        <v>44</v>
      </c>
      <c r="G41" s="3" t="s">
        <v>770</v>
      </c>
      <c r="H41" s="3" t="s">
        <v>771</v>
      </c>
      <c r="I41" s="3" t="s">
        <v>772</v>
      </c>
      <c r="J41" s="3" t="s">
        <v>773</v>
      </c>
      <c r="K41" s="3" t="s">
        <v>774</v>
      </c>
    </row>
    <row r="42">
      <c r="A42" s="3">
        <v>41.0</v>
      </c>
      <c r="B42" s="3" t="s">
        <v>488</v>
      </c>
      <c r="C42" s="3" t="s">
        <v>497</v>
      </c>
      <c r="D42" s="3" t="s">
        <v>26</v>
      </c>
      <c r="E42" s="3" t="s">
        <v>26</v>
      </c>
      <c r="F42" s="3" t="s">
        <v>561</v>
      </c>
      <c r="G42" s="3" t="s">
        <v>775</v>
      </c>
      <c r="H42" s="3" t="s">
        <v>225</v>
      </c>
      <c r="I42" s="3" t="s">
        <v>776</v>
      </c>
      <c r="J42" s="3" t="s">
        <v>777</v>
      </c>
      <c r="K42" s="3" t="s">
        <v>84</v>
      </c>
      <c r="L42" s="3" t="s">
        <v>778</v>
      </c>
    </row>
    <row r="43">
      <c r="A43" s="3">
        <v>42.0</v>
      </c>
      <c r="B43" s="3" t="s">
        <v>488</v>
      </c>
      <c r="C43" s="3" t="s">
        <v>497</v>
      </c>
      <c r="D43" s="3" t="s">
        <v>26</v>
      </c>
      <c r="E43" s="3" t="s">
        <v>26</v>
      </c>
      <c r="F43" s="3" t="s">
        <v>779</v>
      </c>
      <c r="G43" s="3" t="s">
        <v>780</v>
      </c>
      <c r="H43" s="3" t="s">
        <v>96</v>
      </c>
      <c r="I43" s="3" t="s">
        <v>49</v>
      </c>
      <c r="J43" s="3" t="s">
        <v>781</v>
      </c>
      <c r="K43" s="3" t="s">
        <v>782</v>
      </c>
    </row>
    <row r="44">
      <c r="A44" s="3">
        <v>43.0</v>
      </c>
      <c r="B44" s="3" t="s">
        <v>488</v>
      </c>
      <c r="C44" s="3" t="s">
        <v>497</v>
      </c>
      <c r="D44" s="3" t="s">
        <v>26</v>
      </c>
      <c r="E44" s="3" t="s">
        <v>26</v>
      </c>
      <c r="F44" s="3" t="s">
        <v>783</v>
      </c>
      <c r="G44" s="3" t="s">
        <v>784</v>
      </c>
      <c r="H44" s="3" t="s">
        <v>607</v>
      </c>
      <c r="I44" s="3" t="s">
        <v>785</v>
      </c>
      <c r="J44" s="3" t="s">
        <v>786</v>
      </c>
      <c r="K44" s="3" t="s">
        <v>787</v>
      </c>
    </row>
    <row r="45">
      <c r="A45" s="3">
        <v>44.0</v>
      </c>
      <c r="B45" s="3" t="s">
        <v>488</v>
      </c>
      <c r="C45" s="3" t="s">
        <v>497</v>
      </c>
      <c r="D45" s="3" t="s">
        <v>26</v>
      </c>
      <c r="E45" s="3" t="s">
        <v>26</v>
      </c>
      <c r="F45" s="3" t="s">
        <v>779</v>
      </c>
      <c r="G45" s="3" t="s">
        <v>788</v>
      </c>
      <c r="H45" s="3" t="s">
        <v>789</v>
      </c>
      <c r="I45" s="3" t="s">
        <v>772</v>
      </c>
      <c r="J45" s="3" t="s">
        <v>790</v>
      </c>
      <c r="K45" s="3" t="s">
        <v>791</v>
      </c>
    </row>
    <row r="46">
      <c r="A46" s="3">
        <v>45.0</v>
      </c>
      <c r="B46" s="3" t="s">
        <v>488</v>
      </c>
      <c r="C46" s="3" t="s">
        <v>497</v>
      </c>
      <c r="D46" s="3" t="s">
        <v>26</v>
      </c>
      <c r="E46" s="3" t="s">
        <v>26</v>
      </c>
      <c r="F46" s="3" t="s">
        <v>792</v>
      </c>
      <c r="G46" s="3" t="s">
        <v>793</v>
      </c>
      <c r="H46" s="3" t="s">
        <v>794</v>
      </c>
      <c r="I46" s="3" t="s">
        <v>795</v>
      </c>
      <c r="J46" s="3" t="s">
        <v>796</v>
      </c>
      <c r="K46" s="3" t="s">
        <v>797</v>
      </c>
    </row>
    <row r="47">
      <c r="A47" s="3">
        <v>46.0</v>
      </c>
      <c r="B47" s="3" t="s">
        <v>488</v>
      </c>
      <c r="C47" s="3" t="s">
        <v>497</v>
      </c>
      <c r="D47" s="3" t="s">
        <v>26</v>
      </c>
      <c r="E47" s="3" t="s">
        <v>26</v>
      </c>
      <c r="F47" s="3" t="s">
        <v>798</v>
      </c>
      <c r="G47" s="3" t="s">
        <v>799</v>
      </c>
      <c r="H47" s="3" t="s">
        <v>800</v>
      </c>
      <c r="I47" s="3" t="s">
        <v>801</v>
      </c>
      <c r="J47" s="3" t="s">
        <v>802</v>
      </c>
      <c r="K47" s="3" t="s">
        <v>803</v>
      </c>
      <c r="L47" s="3" t="s">
        <v>804</v>
      </c>
    </row>
    <row r="48">
      <c r="A48" s="3">
        <v>47.0</v>
      </c>
      <c r="B48" s="3" t="s">
        <v>488</v>
      </c>
      <c r="C48" s="3" t="s">
        <v>497</v>
      </c>
      <c r="D48" s="3" t="s">
        <v>26</v>
      </c>
      <c r="E48" s="3" t="s">
        <v>26</v>
      </c>
      <c r="F48" s="3" t="s">
        <v>805</v>
      </c>
      <c r="G48" s="3" t="s">
        <v>806</v>
      </c>
      <c r="H48" s="3" t="s">
        <v>807</v>
      </c>
      <c r="I48" s="3" t="s">
        <v>808</v>
      </c>
      <c r="J48" s="3" t="s">
        <v>809</v>
      </c>
      <c r="K48" s="3" t="s">
        <v>288</v>
      </c>
      <c r="L48" s="3" t="s">
        <v>810</v>
      </c>
    </row>
    <row r="49">
      <c r="A49" s="3">
        <v>48.0</v>
      </c>
      <c r="B49" s="3" t="s">
        <v>488</v>
      </c>
      <c r="C49" s="3" t="s">
        <v>497</v>
      </c>
      <c r="D49" s="3" t="s">
        <v>26</v>
      </c>
      <c r="E49" s="3" t="s">
        <v>26</v>
      </c>
      <c r="F49" s="3" t="s">
        <v>811</v>
      </c>
      <c r="G49" s="3" t="s">
        <v>812</v>
      </c>
      <c r="H49" s="3" t="s">
        <v>813</v>
      </c>
      <c r="I49" s="3" t="s">
        <v>814</v>
      </c>
      <c r="J49" s="3" t="s">
        <v>815</v>
      </c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816</v>
      </c>
    </row>
    <row r="3">
      <c r="A3" s="3" t="s">
        <v>817</v>
      </c>
      <c r="B3" s="3">
        <v>8.0</v>
      </c>
      <c r="D3" s="15" t="s">
        <v>818</v>
      </c>
      <c r="E3" s="15">
        <v>40.0</v>
      </c>
    </row>
    <row r="4">
      <c r="A4" s="3" t="s">
        <v>819</v>
      </c>
      <c r="B4" s="3">
        <v>16.0</v>
      </c>
      <c r="D4" s="15" t="s">
        <v>820</v>
      </c>
      <c r="E4" s="15">
        <v>32.0</v>
      </c>
    </row>
    <row r="5">
      <c r="A5" s="3" t="s">
        <v>821</v>
      </c>
      <c r="B5" s="3">
        <v>24.0</v>
      </c>
      <c r="D5" s="16"/>
      <c r="E5" s="16"/>
    </row>
    <row r="6">
      <c r="D6" s="15" t="s">
        <v>822</v>
      </c>
      <c r="E6" s="15">
        <v>40.0</v>
      </c>
    </row>
    <row r="7">
      <c r="A7" s="3" t="s">
        <v>823</v>
      </c>
      <c r="B7" s="3">
        <v>32.0</v>
      </c>
      <c r="D7" s="15" t="s">
        <v>824</v>
      </c>
      <c r="E7" s="15">
        <v>32.0</v>
      </c>
    </row>
    <row r="8">
      <c r="A8" s="3" t="s">
        <v>825</v>
      </c>
      <c r="B8" s="3">
        <v>16.0</v>
      </c>
    </row>
    <row r="9">
      <c r="A9" s="3" t="s">
        <v>826</v>
      </c>
      <c r="B9" s="3">
        <v>40.0</v>
      </c>
    </row>
    <row r="10">
      <c r="A10" s="3" t="s">
        <v>827</v>
      </c>
      <c r="B10" s="3">
        <v>8.0</v>
      </c>
    </row>
  </sheetData>
  <drawing r:id="rId1"/>
</worksheet>
</file>